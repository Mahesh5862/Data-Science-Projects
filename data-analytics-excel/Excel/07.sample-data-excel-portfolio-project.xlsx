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hidePivotFieldList="1"/>
  <mc:AlternateContent xmlns:mc="http://schemas.openxmlformats.org/markup-compatibility/2006">
    <mc:Choice Requires="x15">
      <x15ac:absPath xmlns:x15ac="http://schemas.microsoft.com/office/spreadsheetml/2010/11/ac" url="C:\Users\Mahesh\Videos\excel\4-hour-course-xl-files\"/>
    </mc:Choice>
  </mc:AlternateContent>
  <xr:revisionPtr revIDLastSave="0" documentId="13_ncr:1_{E70C9B30-E478-4F3B-9376-3F083C48DFE6}" xr6:coauthVersionLast="47" xr6:coauthVersionMax="47" xr10:uidLastSave="{00000000-0000-0000-0000-000000000000}"/>
  <bookViews>
    <workbookView xWindow="-110" yWindow="-110" windowWidth="19420" windowHeight="10300" activeTab="4" xr2:uid="{26D4546B-D2A1-4444-8EAF-A6228F96F0C1}"/>
  </bookViews>
  <sheets>
    <sheet name="customer center report" sheetId="5" r:id="rId1"/>
    <sheet name="Sheet1" sheetId="9" r:id="rId2"/>
    <sheet name="pivots" sheetId="8" r:id="rId3"/>
    <sheet name="Data" sheetId="2" r:id="rId4"/>
    <sheet name="Assets" sheetId="4" r:id="rId5"/>
  </sheets>
  <definedNames>
    <definedName name="_xlnm._FilterDatabase" localSheetId="3" hidden="1">Data!$B$3:$H$1003</definedName>
    <definedName name="_xlcn.WorksheetConnection_07.sampledataexcelportfolioproject.xlsxcalls1" hidden="1">calls[]</definedName>
    <definedName name="_xlcn.WorksheetConnection_07.sampledataexcelportfolioproject.xlsxcustomers1" hidden="1">customers[]</definedName>
    <definedName name="ExternalData_1" localSheetId="1" hidden="1">Sheet1!$A$3:$M$13</definedName>
    <definedName name="Slicer_Representative">#N/A</definedName>
  </definedNames>
  <calcPr calcId="191029"/>
  <pivotCaches>
    <pivotCache cacheId="2" r:id="rId6"/>
    <pivotCache cacheId="6" r:id="rId7"/>
    <pivotCache cacheId="1452" r:id="rId8"/>
    <pivotCache cacheId="1563" r:id="rId9"/>
    <pivotCache cacheId="1566" r:id="rId10"/>
    <pivotCache cacheId="1569" r:id="rId11"/>
    <pivotCache cacheId="1572" r:id="rId12"/>
    <pivotCache cacheId="1575" r:id="rId13"/>
    <pivotCache cacheId="157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3" i="5" l="1"/>
  <c r="N40" i="5"/>
  <c r="N39" i="5"/>
  <c r="K27" i="8"/>
  <c r="K17" i="8"/>
  <c r="K20" i="8" s="1"/>
  <c r="K16" i="8"/>
  <c r="K19" i="8" s="1"/>
  <c r="K15" i="8"/>
  <c r="K23" i="8" s="1"/>
  <c r="N38" i="5" s="1"/>
  <c r="Q21" i="5" a="1"/>
  <c r="Q21" i="5" s="1"/>
  <c r="R20" i="5" a="1"/>
  <c r="R20" i="5" s="1"/>
  <c r="F40" i="8" a="1"/>
  <c r="F40" i="8" s="1"/>
  <c r="I41" i="8"/>
  <c r="I44" i="8" s="1"/>
  <c r="I42" i="8"/>
  <c r="I37" i="8"/>
  <c r="J40" i="8" s="1"/>
  <c r="J41" i="8"/>
  <c r="J42" i="8"/>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K24" i="8" l="1"/>
  <c r="K25" i="8"/>
  <c r="I40" i="8"/>
  <c r="I43" i="8" s="1"/>
  <c r="J44" i="8"/>
  <c r="J43"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0B8F15-97BF-4035-8065-F7AA561FB66E}" keepAlive="1" name="ModelConnection_ExternalData_1" description="Data Model" type="5" refreshedVersion="8" minRefreshableVersion="5" saveData="1">
    <dbPr connection="Data Model Connection" command="DRILLTHROUGH MAXROWS 1000 SELECT FROM [Model] WHERE (([calls].[Representative].&amp;[R02],[Measures].[Call Count],[calls].[Date of Call (Month)].&amp;[Feb]))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DAB4DDBC-B9DB-4800-9E6E-1490107EAE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442F880-4138-4CB3-B0E1-27265DB4F35D}" name="WorksheetConnection_07.sample-data-excel-portfolio-project.xlsx!calls" type="102" refreshedVersion="8" minRefreshableVersion="5">
    <extLst>
      <ext xmlns:x15="http://schemas.microsoft.com/office/spreadsheetml/2010/11/main" uri="{DE250136-89BD-433C-8126-D09CA5730AF9}">
        <x15:connection id="calls">
          <x15:rangePr sourceName="_xlcn.WorksheetConnection_07.sampledataexcelportfolioproject.xlsxcalls1"/>
        </x15:connection>
      </ext>
    </extLst>
  </connection>
  <connection id="4" xr16:uid="{C4DDE2D3-4A6C-4776-80D7-4D217DC83ED0}"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<sst xmlns="http://schemas.openxmlformats.org/spreadsheetml/2006/main" count="3257" uniqueCount="1109">
  <si>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</si>
  <si>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</si>
  <si>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</si>
  <si>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</si>
  <si>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</si>
  <si>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</si>
  <si>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</si>
  <si>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</si>
  <si>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</si>
  <si>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</si>
  <si>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</si>
  <si>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</si>
  <si>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</si>
  <si>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</si>
  <si>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</si>
  <si>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</si>
  <si>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</si>
  <si>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</si>
  <si>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</si>
  <si>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</si>
  <si>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</si>
  <si>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</si>
  <si>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</si>
  <si>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</si>
  <si>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</si>
  <si>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</si>
  <si>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</si>
  <si>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</si>
  <si>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</si>
  <si>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</si>
  <si>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</si>
  <si>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</si>
  <si>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</si>
  <si>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</si>
  <si>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</si>
  <si>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</si>
  <si>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</si>
  <si>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</si>
  <si>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</si>
  <si>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</si>
  <si>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</si>
  <si>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</si>
  <si>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</si>
  <si>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</si>
  <si>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</si>
  <si>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</si>
  <si>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</si>
  <si>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</si>
  <si>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</si>
  <si>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</si>
  <si>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</si>
  <si>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</si>
  <si>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</si>
  <si>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</si>
  <si>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</si>
  <si>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</si>
  <si>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</si>
  <si>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</si>
  <si>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</si>
  <si>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</si>
  <si>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</si>
  <si>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</si>
  <si>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</si>
  <si>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</si>
  <si>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</si>
  <si>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</si>
  <si>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</si>
  <si>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</si>
  <si>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</si>
  <si>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</si>
  <si>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</si>
  <si>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</si>
  <si>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</si>
  <si>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</si>
  <si>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</si>
  <si>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</si>
  <si>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</si>
  <si>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</si>
  <si>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</si>
  <si>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</si>
  <si>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</si>
  <si>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</si>
  <si>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</si>
  <si>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</si>
  <si>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</si>
  <si>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</si>
  <si>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</si>
  <si>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</si>
  <si>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</si>
  <si>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</si>
  <si>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</si>
  <si>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</si>
  <si>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</si>
  <si>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</si>
  <si>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</si>
  <si>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</si>
  <si>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</si>
  <si>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</si>
  <si>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</si>
  <si>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</si>
  <si>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</si>
  <si>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</si>
  <si>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</si>
  <si>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</si>
  <si>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</si>
  <si>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</si>
  <si>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</si>
  <si>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</si>
  <si>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</si>
  <si>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</si>
  <si>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</si>
  <si>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</si>
  <si>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</si>
  <si>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</si>
  <si>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</si>
  <si>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</si>
  <si>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</si>
  <si>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</si>
  <si>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</si>
  <si>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</si>
  <si>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</si>
  <si>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</si>
  <si>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</si>
  <si>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</si>
  <si>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</si>
  <si>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</si>
  <si>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</si>
  <si>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</si>
  <si>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</si>
  <si>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</si>
  <si>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</si>
  <si>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</si>
  <si>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</si>
  <si>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</si>
  <si>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</si>
  <si>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</si>
  <si>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</si>
  <si>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</si>
  <si>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</si>
  <si>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</si>
  <si>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</si>
  <si>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</si>
  <si>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</si>
  <si>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</si>
  <si>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</si>
  <si>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</si>
  <si>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</si>
  <si>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</si>
  <si>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</si>
  <si>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</si>
  <si>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</si>
  <si>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</si>
  <si>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</si>
  <si>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</si>
  <si>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</si>
  <si>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</si>
  <si>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</si>
  <si>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</si>
  <si>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</si>
  <si>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</si>
  <si>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</si>
  <si>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</si>
  <si>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</si>
  <si>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</si>
  <si>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</si>
  <si>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</si>
  <si>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</si>
  <si>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</si>
  <si>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</si>
  <si>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</si>
  <si>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</si>
  <si>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</si>
  <si>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</si>
  <si>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</si>
  <si>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</si>
  <si>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</si>
  <si>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</si>
  <si>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</si>
  <si>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</si>
  <si>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</si>
  <si>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</si>
  <si>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</si>
  <si>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</si>
  <si>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</si>
  <si>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</si>
  <si>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</si>
  <si>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</si>
  <si>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</si>
  <si>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</si>
  <si>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</si>
  <si>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</si>
  <si>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</si>
  <si>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</si>
  <si>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</si>
  <si>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</si>
  <si>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</si>
  <si>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</si>
  <si>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</si>
  <si>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</si>
  <si>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</si>
  <si>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</si>
  <si>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</si>
  <si>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</si>
  <si>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</si>
  <si>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</si>
  <si>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</si>
  <si>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</si>
  <si>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</si>
  <si>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</si>
  <si>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</si>
  <si>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</si>
  <si>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</si>
  <si>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</si>
  <si>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</si>
  <si>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</si>
  <si>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</si>
  <si>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</si>
  <si>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</si>
  <si>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</si>
  <si>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</si>
  <si>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</si>
  <si>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</si>
  <si>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</si>
  <si>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</si>
  <si>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</si>
  <si>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</si>
  <si>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</si>
  <si>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</si>
  <si>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</si>
  <si>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</si>
  <si>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</si>
  <si>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</si>
  <si>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</si>
  <si>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</si>
  <si>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</si>
  <si>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</si>
  <si>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</si>
  <si>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</si>
  <si>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</si>
  <si>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</si>
  <si>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</si>
  <si>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</si>
  <si>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</si>
  <si>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</si>
  <si>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</si>
  <si>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</si>
  <si>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</si>
  <si>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</si>
  <si>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</si>
  <si>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</si>
  <si>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</si>
  <si>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</si>
  <si>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</si>
  <si>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</si>
  <si>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</si>
  <si>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</si>
  <si>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</si>
  <si>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</si>
  <si>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</si>
  <si>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</si>
  <si>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</si>
  <si>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</si>
  <si>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</si>
  <si>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</si>
  <si>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</si>
  <si>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</si>
  <si>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</si>
  <si>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</si>
  <si>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</si>
  <si>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</si>
  <si>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</si>
  <si>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</si>
  <si>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</si>
  <si>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</si>
  <si>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</si>
  <si>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</si>
  <si>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</si>
  <si>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</si>
  <si>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</si>
  <si>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</si>
  <si>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</si>
  <si>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</si>
  <si>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</si>
  <si>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</si>
  <si>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</si>
  <si>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</si>
  <si>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</si>
  <si>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</si>
  <si>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</si>
  <si>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</si>
  <si>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</si>
  <si>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</si>
  <si>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</si>
  <si>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</si>
  <si>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</si>
  <si>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</si>
  <si>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</si>
  <si>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</si>
  <si>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</si>
  <si>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</si>
  <si>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</si>
  <si>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</si>
  <si>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</si>
  <si>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</si>
  <si>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</si>
  <si>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</si>
  <si>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</si>
  <si>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</si>
  <si>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</si>
  <si>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</si>
  <si>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</si>
  <si>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</si>
  <si>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</si>
  <si>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</si>
  <si>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</si>
  <si>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</si>
  <si>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</si>
  <si>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</si>
  <si>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</si>
  <si>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</si>
  <si>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</si>
  <si>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</si>
  <si>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</si>
  <si>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</si>
  <si>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</si>
  <si>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</si>
  <si>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</si>
  <si>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</si>
  <si>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</si>
  <si>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</si>
  <si>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</si>
  <si>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</si>
  <si>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</si>
  <si>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</si>
  <si>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</si>
  <si>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</si>
  <si>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</si>
  <si>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</si>
  <si>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</si>
  <si>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</si>
  <si>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</si>
  <si>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</si>
  <si>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</si>
  <si>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</si>
  <si>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</si>
  <si>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</si>
  <si>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</si>
  <si>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</si>
  <si>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</si>
  <si>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</si>
  <si>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</si>
  <si>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</si>
  <si>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</si>
  <si>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</si>
  <si>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</si>
  <si>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</si>
  <si>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</si>
  <si>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</si>
  <si>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</si>
  <si>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</si>
  <si>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</si>
  <si>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</si>
  <si>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</si>
  <si>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</si>
  <si>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</si>
  <si>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</si>
  <si>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</si>
  <si>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</si>
  <si>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</si>
  <si>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</si>
  <si>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</si>
  <si>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</si>
  <si>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</si>
  <si>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</si>
  <si>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</si>
  <si>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</si>
  <si>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</si>
  <si>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</si>
  <si>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</si>
  <si>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</si>
  <si>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</si>
  <si>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</si>
  <si>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</si>
  <si>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</si>
  <si>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</si>
  <si>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</si>
  <si>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</si>
  <si>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</si>
  <si>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</si>
  <si>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</si>
  <si>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</si>
  <si>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</si>
  <si>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</si>
  <si>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</si>
  <si>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</si>
  <si>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</si>
  <si>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</si>
  <si>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</si>
  <si>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</si>
  <si>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</si>
  <si>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</si>
  <si>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</si>
  <si>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</si>
  <si>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</si>
  <si>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</si>
  <si>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</si>
  <si>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</si>
  <si>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</si>
  <si>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</si>
  <si>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</si>
  <si>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</si>
  <si>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</si>
  <si>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</si>
  <si>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</si>
  <si>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</si>
  <si>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</si>
  <si>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</si>
  <si>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</si>
  <si>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</si>
  <si>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</si>
  <si>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</si>
  <si>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</si>
  <si>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</si>
  <si>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</si>
  <si>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</si>
  <si>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</si>
  <si>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</si>
  <si>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</si>
  <si>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</si>
  <si>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</si>
  <si>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</si>
  <si>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</si>
  <si>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</si>
  <si>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</si>
  <si>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</si>
  <si>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</si>
  <si>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</si>
  <si>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</si>
  <si>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</si>
  <si>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</si>
  <si>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</si>
  <si>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</si>
  <si>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</si>
  <si>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</si>
  <si>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</si>
  <si>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</si>
  <si>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</si>
  <si>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</si>
  <si>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</si>
  <si>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</si>
  <si>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</si>
  <si>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</si>
  <si>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</si>
  <si>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</si>
  <si>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</si>
  <si>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</si>
  <si>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</si>
  <si>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</si>
  <si>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</si>
  <si>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</si>
  <si>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</si>
  <si>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</si>
  <si>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</si>
  <si>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</si>
  <si>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</si>
  <si>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</si>
  <si>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</si>
  <si>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</si>
  <si>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</si>
  <si>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</si>
  <si>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</si>
  <si>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</si>
  <si>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</si>
  <si>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</si>
  <si>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</si>
  <si>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</si>
  <si>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</si>
  <si>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</si>
  <si>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</si>
  <si>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</si>
  <si>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</si>
  <si>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</si>
  <si>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</si>
  <si>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</si>
  <si>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</si>
  <si>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</si>
  <si>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</si>
  <si>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</si>
  <si>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</si>
  <si>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</si>
  <si>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</si>
  <si>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</si>
  <si>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</si>
  <si>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</si>
  <si>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</si>
  <si>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</si>
  <si>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</si>
  <si>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</si>
  <si>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</si>
  <si>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</si>
  <si>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</si>
  <si>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</si>
  <si>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</si>
  <si>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</si>
  <si>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</si>
  <si>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</si>
  <si>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</si>
  <si>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</si>
  <si>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</si>
  <si>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</si>
  <si>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</si>
  <si>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</si>
  <si>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</si>
  <si>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</si>
  <si>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</si>
  <si>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</si>
  <si>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</si>
  <si>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</si>
  <si>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</si>
  <si>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</si>
  <si>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</si>
  <si>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</si>
  <si>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</si>
  <si>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</si>
  <si>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</si>
  <si>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</si>
  <si>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</si>
  <si>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</si>
  <si>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</si>
  <si>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</si>
  <si>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</si>
  <si>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</si>
  <si>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</si>
  <si>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</si>
  <si>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</si>
  <si>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</si>
  <si>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</si>
  <si>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</si>
  <si>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</si>
  <si>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</si>
  <si>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</si>
  <si>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</si>
  <si>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</si>
  <si>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</si>
  <si>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</si>
  <si>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</si>
  <si>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</si>
  <si>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</si>
  <si>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</si>
  <si>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</si>
  <si>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</si>
  <si>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</si>
  <si>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</si>
  <si>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</si>
  <si>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</si>
  <si>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</si>
  <si>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</si>
  <si>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</si>
  <si>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</si>
  <si>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</si>
  <si>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</si>
  <si>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</si>
  <si>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</si>
  <si>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</si>
  <si>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</si>
  <si>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</si>
  <si>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</si>
  <si>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</si>
  <si>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</si>
  <si>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</si>
  <si>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</si>
  <si>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</si>
  <si>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</si>
  <si>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</si>
  <si>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</si>
  <si>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</si>
  <si>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</si>
  <si>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</si>
  <si>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</si>
  <si>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</si>
  <si>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</si>
  <si>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</si>
  <si>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</si>
  <si>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</si>
  <si>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</si>
  <si>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</si>
  <si>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</si>
  <si>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</si>
  <si>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</si>
  <si>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</si>
  <si>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</si>
  <si>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</si>
  <si>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</si>
  <si>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</si>
  <si>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</si>
  <si>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</si>
  <si>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</si>
  <si>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</si>
  <si>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</si>
  <si>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</si>
  <si>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</si>
  <si>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</si>
  <si>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</si>
  <si>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</si>
  <si>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</si>
  <si>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</si>
  <si>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</si>
  <si>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</si>
  <si>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</si>
  <si>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</si>
  <si>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</si>
  <si>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</si>
  <si>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</si>
  <si>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</si>
  <si>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</si>
  <si>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</si>
  <si>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</si>
  <si>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</si>
  <si>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</si>
  <si>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</si>
  <si>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</si>
  <si>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</si>
  <si>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</si>
  <si>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</si>
  <si>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</si>
  <si>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</si>
  <si>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</si>
  <si>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</si>
  <si>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</si>
  <si>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</si>
  <si>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</si>
  <si>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</si>
  <si>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</si>
  <si>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</si>
  <si>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</si>
  <si>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</si>
  <si>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</si>
  <si>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</si>
  <si>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</si>
  <si>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</si>
  <si>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</si>
  <si>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</si>
  <si>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</si>
  <si>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</si>
  <si>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</si>
  <si>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</si>
  <si>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</si>
  <si>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</si>
  <si>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</si>
  <si>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</si>
  <si>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</si>
  <si>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</si>
  <si>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</si>
  <si>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</si>
  <si>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</si>
  <si>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</si>
  <si>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</si>
  <si>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</si>
  <si>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</si>
  <si>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</si>
  <si>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</si>
  <si>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</si>
  <si>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</si>
  <si>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</si>
  <si>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</si>
  <si>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</si>
  <si>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</si>
  <si>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</si>
  <si>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</si>
  <si>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</si>
  <si>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</si>
  <si>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</si>
  <si>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</si>
  <si>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</si>
  <si>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</si>
  <si>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</si>
  <si>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</si>
  <si>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</si>
  <si>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</si>
  <si>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</si>
  <si>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</si>
  <si>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</si>
  <si>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</si>
  <si>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</si>
  <si>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</si>
  <si>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</si>
  <si>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</si>
  <si>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</si>
  <si>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</si>
  <si>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</si>
  <si>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</si>
  <si>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</si>
  <si>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</si>
  <si>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</si>
  <si>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</si>
  <si>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</si>
  <si>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</si>
  <si>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</si>
  <si>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</si>
  <si>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</si>
  <si>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</si>
  <si>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</si>
  <si>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</si>
  <si>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</si>
  <si>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</si>
  <si>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</si>
  <si>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</si>
  <si>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</si>
  <si>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</si>
  <si>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</si>
  <si>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</si>
  <si>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</si>
  <si>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</si>
  <si>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</si>
  <si>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</si>
  <si>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</si>
  <si>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</si>
  <si>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</si>
  <si>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</si>
  <si>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</si>
  <si>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</si>
  <si>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</si>
  <si>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</si>
  <si>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</si>
  <si>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</si>
  <si>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</si>
  <si>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</si>
  <si>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</si>
  <si>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</si>
  <si>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</si>
  <si>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</si>
  <si>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</si>
  <si>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</si>
  <si>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</si>
  <si>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</si>
  <si>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</si>
  <si>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</si>
  <si>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</si>
  <si>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</si>
  <si>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</si>
  <si>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</si>
  <si>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</si>
  <si>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</si>
  <si>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</si>
  <si>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</si>
  <si>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</si>
  <si>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</si>
  <si>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</si>
  <si>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</si>
  <si>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</si>
  <si>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</si>
  <si>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</si>
  <si>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</si>
  <si>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</si>
  <si>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</si>
  <si>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</si>
  <si>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</si>
  <si>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</si>
  <si>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</si>
  <si>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</si>
  <si>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</si>
  <si>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</si>
  <si>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</si>
  <si>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</si>
  <si>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</si>
  <si>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</si>
  <si>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</si>
  <si>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</si>
  <si>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</si>
  <si>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</si>
  <si>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</si>
  <si>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</si>
  <si>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</si>
  <si>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</si>
  <si>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</si>
  <si>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</si>
  <si>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</si>
  <si>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</si>
  <si>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</si>
  <si>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</si>
  <si>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</si>
  <si>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</si>
  <si>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</si>
  <si>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</si>
  <si>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</si>
  <si>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</si>
  <si>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</si>
  <si>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</si>
  <si>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</si>
  <si>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</si>
  <si>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</si>
  <si>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</si>
  <si>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</si>
  <si>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</si>
  <si>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</si>
  <si>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</si>
  <si>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</si>
  <si>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</si>
  <si>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</si>
  <si>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</si>
  <si>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</si>
  <si>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</si>
  <si>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</si>
  <si>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</si>
  <si>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</si>
  <si>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</si>
  <si>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</si>
  <si>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</si>
  <si>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</si>
  <si>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</si>
  <si>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</si>
  <si>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</si>
  <si>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</si>
  <si>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</si>
  <si>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</si>
  <si>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</si>
  <si>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</si>
  <si>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</si>
  <si>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</si>
  <si>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</si>
  <si>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</si>
  <si>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</si>
  <si>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</si>
  <si>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</si>
  <si>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</si>
  <si>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</si>
  <si>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</si>
  <si>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</si>
  <si>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</si>
  <si>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</si>
  <si>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</si>
  <si>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</si>
  <si>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</si>
  <si>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</si>
  <si>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</si>
  <si>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</si>
  <si>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</si>
  <si>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</si>
  <si>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</si>
  <si>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</si>
  <si>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</si>
  <si>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</si>
  <si>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</si>
  <si>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</si>
  <si>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</si>
  <si>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</si>
  <si>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</si>
  <si>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</si>
  <si>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</si>
  <si>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</si>
  <si>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</si>
  <si>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</si>
  <si>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</si>
  <si>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</si>
  <si>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</si>
  <si>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</si>
  <si>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</si>
  <si>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</si>
  <si>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</si>
  <si>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</si>
  <si>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</si>
  <si>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</si>
  <si>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</si>
  <si>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</si>
  <si>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</si>
  <si>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</si>
  <si>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</si>
  <si>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</si>
  <si>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</si>
  <si>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</si>
  <si>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</si>
  <si>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</si>
  <si>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</si>
  <si>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</si>
  <si>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</si>
  <si>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</si>
  <si>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</si>
  <si>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</si>
  <si>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</si>
  <si>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</si>
  <si>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</si>
  <si>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</si>
  <si>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</si>
  <si>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</si>
  <si>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</si>
  <si>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</si>
  <si>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</si>
  <si>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</si>
  <si>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</si>
  <si>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</si>
  <si>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</si>
  <si>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</si>
  <si>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</si>
  <si>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</si>
  <si>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</si>
  <si>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</si>
  <si>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</si>
  <si>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</si>
  <si>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</si>
  <si>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</si>
  <si>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</si>
  <si>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</si>
  <si>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</si>
  <si>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</si>
  <si>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</si>
  <si>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</si>
  <si>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</si>
  <si>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</si>
  <si>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</si>
  <si>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</si>
  <si>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</si>
  <si>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</si>
  <si>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</si>
  <si>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</si>
  <si>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</si>
  <si>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</si>
  <si>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</si>
  <si>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</si>
  <si>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</si>
  <si>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</si>
  <si>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</si>
  <si>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</si>
  <si>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</si>
  <si>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</si>
  <si>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</si>
  <si>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</si>
  <si>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</si>
  <si>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</si>
  <si>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</si>
  <si>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</si>
  <si>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</si>
  <si>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</si>
  <si>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</si>
  <si>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</si>
  <si>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</si>
  <si>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</si>
  <si>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</si>
  <si>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</si>
  <si>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</si>
  <si>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</si>
  <si>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</si>
  <si>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</si>
  <si>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</si>
  <si>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</si>
  <si>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</si>
  <si>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</si>
  <si>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</si>
  <si>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</si>
  <si>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</si>
  <si>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</si>
  <si>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</si>
  <si>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</si>
  <si>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</si>
  <si>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</si>
  <si>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</si>
  <si>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</si>
  <si>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</si>
  <si>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</si>
  <si>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</si>
  <si>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</si>
  <si>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</si>
  <si>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</si>
  <si>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</si>
  <si>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</si>
  <si>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</si>
  <si>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</si>
  <si>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</si>
  <si>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</si>
  <si>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</si>
  <si>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</si>
  <si>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</si>
  <si>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</si>
  <si>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</si>
  <si>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</si>
  <si>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</si>
  <si>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</si>
  <si>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</si>
  <si>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</si>
  <si>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</si>
  <si>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</si>
  <si>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</si>
  <si>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</si>
  <si>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</si>
  <si>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</si>
  <si>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</si>
  <si>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</si>
  <si>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</si>
  <si>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</si>
  <si>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</si>
  <si>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</si>
  <si>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</si>
  <si>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</si>
  <si>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</si>
  <si>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</si>
  <si>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</si>
  <si>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</si>
  <si>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</si>
  <si>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</si>
  <si>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</si>
  <si>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</si>
  <si>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</si>
  <si>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</si>
  <si>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</si>
  <si>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</si>
  <si>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</si>
  <si>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</si>
  <si>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</si>
  <si>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</si>
  <si>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</si>
  <si>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</si>
  <si>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</si>
  <si>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</si>
  <si>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</si>
  <si>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</si>
  <si>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</si>
  <si>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</si>
  <si>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</si>
  <si>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</si>
  <si>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</si>
  <si>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</si>
  <si>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</si>
  <si>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</si>
  <si>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</si>
  <si>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</si>
  <si>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</si>
  <si>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</si>
  <si>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</si>
  <si>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</si>
  <si>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</si>
  <si>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</si>
  <si>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</si>
  <si>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</si>
  <si>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</si>
  <si>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</si>
  <si>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</si>
  <si>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</si>
  <si>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</si>
  <si>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</si>
  <si>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</si>
  <si>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</si>
  <si>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</si>
  <si>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</si>
  <si>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</si>
  <si>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</si>
  <si>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</si>
  <si>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</si>
  <si>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 xml:space="preserve">5*Calls </t>
  </si>
  <si>
    <t>rep pivot table</t>
  </si>
  <si>
    <t>customer analyze table</t>
  </si>
  <si>
    <t>Row Labels</t>
  </si>
  <si>
    <t>Grand Total</t>
  </si>
  <si>
    <t>Jan</t>
  </si>
  <si>
    <t>Feb</t>
  </si>
  <si>
    <t>Mar</t>
  </si>
  <si>
    <t>Apr</t>
  </si>
  <si>
    <t>May</t>
  </si>
  <si>
    <t>Jun</t>
  </si>
  <si>
    <t>Jul</t>
  </si>
  <si>
    <t>Aug</t>
  </si>
  <si>
    <t>Sep</t>
  </si>
  <si>
    <t>Oct</t>
  </si>
  <si>
    <t>Nov</t>
  </si>
  <si>
    <t>Dec</t>
  </si>
  <si>
    <t>Call Count2</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</si>
  <si>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</si>
  <si>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</si>
  <si>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</si>
  <si>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</si>
  <si>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</si>
  <si>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</si>
  <si>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</si>
  <si>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</si>
  <si>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</si>
  <si>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</si>
  <si>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</si>
  <si>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</si>
  <si>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</si>
  <si>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Thursday</t>
  </si>
  <si>
    <t>30 to 60 mins</t>
  </si>
  <si>
    <t>Tuesday</t>
  </si>
  <si>
    <t>More than 2 hours</t>
  </si>
  <si>
    <t>Wednesday</t>
  </si>
  <si>
    <t>1 to 2 hours</t>
  </si>
  <si>
    <t>Sunday</t>
  </si>
  <si>
    <t>Saturday</t>
  </si>
  <si>
    <t>Friday</t>
  </si>
  <si>
    <t>Data returned for Call Count, Feb, R02 (First 1000 rows).</t>
  </si>
  <si>
    <t>Monday</t>
  </si>
  <si>
    <t>For Graph</t>
  </si>
  <si>
    <t xml:space="preserve">     </t>
  </si>
  <si>
    <t>Rep</t>
  </si>
  <si>
    <t>Calls</t>
  </si>
  <si>
    <t>Amount</t>
  </si>
  <si>
    <t>Sel Calls</t>
  </si>
  <si>
    <t>Sel. Amount</t>
  </si>
  <si>
    <t>Column Labels</t>
  </si>
  <si>
    <t>selected rep</t>
  </si>
  <si>
    <t>calls by customer city</t>
  </si>
  <si>
    <t>rep satisfaction</t>
  </si>
  <si>
    <t>rep anounce</t>
  </si>
  <si>
    <t>customer  revenue analysis</t>
  </si>
  <si>
    <t>Total</t>
  </si>
  <si>
    <t>rep summary</t>
  </si>
  <si>
    <t>%calls</t>
  </si>
  <si>
    <t>Call Rank</t>
  </si>
  <si>
    <t>Amount Rank</t>
  </si>
  <si>
    <t>Labels:</t>
  </si>
  <si>
    <t>image:</t>
  </si>
  <si>
    <t>CALL CENTER REPORT-2023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</si>
</sst>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9" formatCode="0.0%"/>
  </numFmts>
  <fonts count="7" x14ac:knownFonts="1">
    <font>
      <sz val="11"/>
      <color theme="1"/>
      <name val="Aptos Narrow"/>
      <family val="2"/>
      <scheme val="minor"/>
    </font>
    <font>
      <b/>
      <sz val="11"/>
      <color theme="1"/>
      <name val="Aptos Narrow"/>
      <family val="2"/>
      <scheme val="minor"/>
    </font>
    <font>
      <sz val="8"/>
      <name val="Aptos Narrow"/>
      <family val="2"/>
      <scheme val="minor"/>
    </font>
    <font>
      <sz val="18"/>
      <color theme="1"/>
      <name val="Aptos ExtraBold"/>
      <family val="2"/>
    </font>
    <font>
      <sz val="11"/>
      <color rgb="FFFF0000"/>
      <name val="Aptos Narrow"/>
      <family val="2"/>
      <scheme val="minor"/>
    </font>
    <font>
      <sz val="26"/>
      <color theme="1"/>
      <name val="Aptos Narrow"/>
      <family val="2"/>
      <scheme val="minor"/>
    </font>
    <font>
      <b/>
      <sz val="26"/>
      <color theme="1"/>
      <name val="Aptos Narrow"/>
      <family val="2"/>
      <scheme val="minor"/>
    </font>
  </fonts>
  <fills count="7">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s>
  <cellStyleXfs count="1">
    <xf numFmtId="0" fontId="0" fillId="0" borderId="0"/>
  </cellStyleXfs>
  <cellXfs count="47">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167" fontId="0" fillId="0" borderId="0" xfId="0" applyNumberFormat="1"/>
    <xf numFmtId="0" fontId="4" fillId="4" borderId="0" xfId="0" applyFont="1" applyFill="1" applyAlignment="1">
      <alignment horizontal="left"/>
    </xf>
    <xf numFmtId="0" fontId="0" fillId="0" borderId="0" xfId="0" applyAlignment="1">
      <alignment horizontal="left" indent="1"/>
    </xf>
    <xf numFmtId="0" fontId="0" fillId="5" borderId="0" xfId="0" applyFill="1" applyBorder="1"/>
    <xf numFmtId="0" fontId="0" fillId="5" borderId="14" xfId="0" applyFill="1" applyBorder="1"/>
    <xf numFmtId="0" fontId="0" fillId="5" borderId="16" xfId="0" applyFill="1" applyBorder="1"/>
    <xf numFmtId="0" fontId="0" fillId="5" borderId="17" xfId="0" applyFill="1" applyBorder="1"/>
    <xf numFmtId="0" fontId="1" fillId="5" borderId="10" xfId="0" applyFont="1" applyFill="1" applyBorder="1"/>
    <xf numFmtId="0" fontId="1" fillId="5" borderId="11" xfId="0" applyFont="1" applyFill="1" applyBorder="1"/>
    <xf numFmtId="0" fontId="1" fillId="5" borderId="12" xfId="0" applyFont="1" applyFill="1" applyBorder="1"/>
    <xf numFmtId="0" fontId="1" fillId="5" borderId="13" xfId="0" applyFont="1" applyFill="1" applyBorder="1"/>
    <xf numFmtId="0" fontId="1" fillId="5" borderId="15" xfId="0" applyFont="1" applyFill="1" applyBorder="1"/>
    <xf numFmtId="169" fontId="0" fillId="0" borderId="0" xfId="0" applyNumberFormat="1"/>
    <xf numFmtId="0" fontId="0" fillId="3" borderId="0" xfId="0" applyFill="1" applyAlignment="1"/>
    <xf numFmtId="0" fontId="0" fillId="3" borderId="14" xfId="0" applyFill="1" applyBorder="1" applyAlignment="1"/>
    <xf numFmtId="0" fontId="0" fillId="3" borderId="0" xfId="0" applyFill="1" applyAlignment="1">
      <alignment horizontal="center"/>
    </xf>
    <xf numFmtId="0" fontId="0" fillId="3" borderId="14" xfId="0" applyFill="1" applyBorder="1" applyAlignment="1">
      <alignment horizontal="center"/>
    </xf>
    <xf numFmtId="0" fontId="5" fillId="3" borderId="0" xfId="0" applyFont="1" applyFill="1" applyAlignment="1">
      <alignment horizontal="left"/>
    </xf>
    <xf numFmtId="0" fontId="6" fillId="6" borderId="0" xfId="0" applyFont="1" applyFill="1" applyAlignment="1">
      <alignment horizontal="left" vertical="top"/>
    </xf>
  </cellXfs>
  <cellStyles count="1">
    <cellStyle name="Normal" xfId="0" builtinId="0"/>
  </cellStyles>
  <dxfs count="24">
    <dxf>
      <fill>
        <patternFill>
          <bgColor rgb="FF92D050"/>
        </patternFill>
      </fill>
      <border>
        <left style="thin">
          <color theme="1" tint="0.34998626667073579"/>
        </left>
        <right style="thin">
          <color theme="1" tint="0.34998626667073579"/>
        </right>
        <vertical/>
        <horizontal/>
      </border>
    </dxf>
    <dxf>
      <fill>
        <patternFill>
          <bgColor rgb="FF92D050"/>
        </patternFill>
      </fill>
      <border>
        <left style="thin">
          <color theme="1" tint="0.34998626667073579"/>
        </left>
        <right style="thin">
          <color theme="1" tint="0.34998626667073579"/>
        </right>
        <vertical/>
        <horizontal/>
      </border>
    </dxf>
    <dxf>
      <font>
        <color rgb="FFFF0000"/>
      </font>
    </dxf>
    <dxf>
      <fill>
        <patternFill patternType="solid">
          <bgColor rgb="FFFFFF00"/>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9" formatCode="dd/mm/yyyy"/>
    </dxf>
    <dxf>
      <font>
        <b/>
        <color theme="1"/>
      </font>
      <border>
        <bottom style="thin">
          <color theme="4"/>
        </bottom>
        <vertical/>
        <horizontal/>
      </border>
    </dxf>
    <dxf>
      <font>
        <color theme="1"/>
      </font>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b/>
        <color theme="1"/>
      </font>
      <border>
        <bottom style="thin">
          <color theme="4"/>
        </bottom>
        <vertical/>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Light16">
    <tableStyle name="Slicer Style 1" pivot="0" table="0" count="1" xr9:uid="{25BABDA2-DB3D-41F6-98D0-3EE7CBB0176F}">
      <tableStyleElement type="wholeTable" dxfId="23"/>
    </tableStyle>
    <tableStyle name="SlicerStyleDark1 2" pivot="0" table="0" count="10" xr9:uid="{5A858719-CA0F-418B-9BCE-F62F797EBE91}">
      <tableStyleElement type="wholeTable" dxfId="22"/>
      <tableStyleElement type="headerRow" dxfId="21"/>
    </tableStyle>
    <tableStyle name="SlicerStyleDark1 3" pivot="0" table="0" count="10" xr9:uid="{8DA1693A-073F-4DC5-A839-1853839592DC}">
      <tableStyleElement type="wholeTable" dxfId="20"/>
      <tableStyleElement type="headerRow" dxfId="19"/>
    </tableStyle>
  </tableStyles>
  <colors>
    <mruColors>
      <color rgb="FF99CCFF"/>
      <color rgb="FFFFCC99"/>
      <color rgb="FFCCFFFF"/>
      <color rgb="FF66FF99"/>
      <color rgb="FFFF669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7/06/relationships/rdRichValue" Target="richData/rdrichvalue.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22/10/relationships/richValueRel" Target="richData/richValueRel.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[07.sample-data-excel-portfolio-project.xlsx]pivots!WeekDayTrend</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pivots!$N$5</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pivots!$M$6:$M$13</c:f>
              <c:strCache>
                <c:ptCount val="7"/>
                <c:pt idx="0">
                  <c:v>Sunday</c:v>
                </c:pt>
                <c:pt idx="1">
                  <c:v>Monday</c:v>
                </c:pt>
                <c:pt idx="2">
                  <c:v>Tuesday</c:v>
                </c:pt>
                <c:pt idx="3">
                  <c:v>Wednesday</c:v>
                </c:pt>
                <c:pt idx="4">
                  <c:v>Thursday</c:v>
                </c:pt>
                <c:pt idx="5">
                  <c:v>Friday</c:v>
                </c:pt>
                <c:pt idx="6">
                  <c:v>Saturday</c:v>
                </c:pt>
              </c:strCache>
            </c:strRef>
          </c:cat>
          <c:val>
            <c:numRef>
              <c:f>pivots!$N$6:$N$13</c:f>
              <c:numCache>
                <c:formatCode>#,##0</c:formatCode>
                <c:ptCount val="7"/>
                <c:pt idx="0">
                  <c:v>146</c:v>
                </c:pt>
                <c:pt idx="1">
                  <c:v>133</c:v>
                </c:pt>
                <c:pt idx="2">
                  <c:v>138</c:v>
                </c:pt>
                <c:pt idx="3">
                  <c:v>153</c:v>
                </c:pt>
                <c:pt idx="4">
                  <c:v>128</c:v>
                </c:pt>
                <c:pt idx="5">
                  <c:v>141</c:v>
                </c:pt>
                <c:pt idx="6">
                  <c:v>161</c:v>
                </c:pt>
              </c:numCache>
            </c:numRef>
          </c:val>
          <c:extLst>
            <c:ext xmlns:c16="http://schemas.microsoft.com/office/drawing/2014/chart" uri="{C3380CC4-5D6E-409C-BE32-E72D297353CC}">
              <c16:uniqueId val="{00000000-65E8-4FDD-B99D-B8B9C14E888B}"/>
            </c:ext>
          </c:extLst>
        </c:ser>
        <c:dLbls>
          <c:dLblPos val="outEnd"/>
          <c:showLegendKey val="0"/>
          <c:showVal val="1"/>
          <c:showCatName val="0"/>
          <c:showSerName val="0"/>
          <c:showPercent val="0"/>
          <c:showBubbleSize val="0"/>
        </c:dLbls>
        <c:gapWidth val="42"/>
        <c:axId val="73318367"/>
        <c:axId val="73315487"/>
      </c:barChart>
      <c:catAx>
        <c:axId val="733183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15487"/>
        <c:crosses val="autoZero"/>
        <c:auto val="1"/>
        <c:lblAlgn val="ctr"/>
        <c:lblOffset val="100"/>
        <c:noMultiLvlLbl val="0"/>
      </c:catAx>
      <c:valAx>
        <c:axId val="73315487"/>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18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[07.sample-data-excel-portfolio-project.xlsx]pivots!monthly Trend</c:name>
    <c:fmtId val="28"/>
  </c:pivotSource>
  <c:chart>
    <c:title>
      <c:tx>
        <c:rich>
          <a:bodyPr rot="0" spcFirstLastPara="1" vertOverflow="ellipsis" vert="horz" wrap="square" anchor="ctr" anchorCtr="1"/>
          <a:lstStyle/>
          <a:p>
            <a:pPr>
              <a:defRPr sz="1400" b="1" i="0" u="none" strike="noStrike" kern="1200" spc="0" baseline="0">
                <a:ln>
                  <a:solidFill>
                    <a:schemeClr val="tx1">
                      <a:lumMod val="50000"/>
                      <a:lumOff val="50000"/>
                    </a:schemeClr>
                  </a:solidFill>
                </a:ln>
                <a:solidFill>
                  <a:schemeClr val="accent6"/>
                </a:solidFill>
                <a:latin typeface="+mn-lt"/>
                <a:ea typeface="+mn-ea"/>
                <a:cs typeface="+mn-cs"/>
              </a:defRPr>
            </a:pPr>
            <a:r>
              <a:rPr lang="en-IN" b="1">
                <a:ln>
                  <a:solidFill>
                    <a:schemeClr val="tx1">
                      <a:lumMod val="50000"/>
                      <a:lumOff val="50000"/>
                    </a:schemeClr>
                  </a:solidFill>
                </a:ln>
                <a:solidFill>
                  <a:schemeClr val="accent6"/>
                </a:solidFill>
              </a:rPr>
              <a:t>Call</a:t>
            </a:r>
            <a:r>
              <a:rPr lang="en-IN" b="1" baseline="0">
                <a:ln>
                  <a:solidFill>
                    <a:schemeClr val="tx1">
                      <a:lumMod val="50000"/>
                      <a:lumOff val="50000"/>
                    </a:schemeClr>
                  </a:solidFill>
                </a:ln>
                <a:solidFill>
                  <a:schemeClr val="accent6"/>
                </a:solidFill>
              </a:rPr>
              <a:t> Trend</a:t>
            </a:r>
            <a:endParaRPr lang="en-IN" b="1">
              <a:ln>
                <a:solidFill>
                  <a:schemeClr val="tx1">
                    <a:lumMod val="50000"/>
                    <a:lumOff val="50000"/>
                  </a:schemeClr>
                </a:solidFill>
              </a:ln>
              <a:solidFill>
                <a:schemeClr val="accent6"/>
              </a:solidFill>
            </a:endParaRPr>
          </a:p>
        </c:rich>
      </c:tx>
      <c:layout>
        <c:manualLayout>
          <c:xMode val="edge"/>
          <c:yMode val="edge"/>
          <c:x val="4.2612116545092768E-2"/>
          <c:y val="5.8267705697618133E-2"/>
        </c:manualLayout>
      </c:layout>
      <c:overlay val="0"/>
      <c:spPr>
        <a:noFill/>
        <a:ln>
          <a:noFill/>
        </a:ln>
        <a:effectLst/>
      </c:spPr>
      <c:txPr>
        <a:bodyPr rot="0" spcFirstLastPara="1" vertOverflow="ellipsis" vert="horz" wrap="square" anchor="ctr" anchorCtr="1"/>
        <a:lstStyle/>
        <a:p>
          <a:pPr>
            <a:defRPr sz="1400" b="1" i="0" u="none" strike="noStrike" kern="1200" spc="0" baseline="0">
              <a:ln>
                <a:solidFill>
                  <a:schemeClr val="tx1">
                    <a:lumMod val="50000"/>
                    <a:lumOff val="50000"/>
                  </a:schemeClr>
                </a:solidFill>
              </a:ln>
              <a:solidFill>
                <a:schemeClr val="accent6"/>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a:gsLst>
              <a:gs pos="100000">
                <a:schemeClr val="accent1">
                  <a:lumMod val="45000"/>
                  <a:lumOff val="55000"/>
                </a:schemeClr>
              </a:gs>
              <a:gs pos="16000">
                <a:srgbClr val="0070C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7"/>
          <c:spPr>
            <a:solidFill>
              <a:schemeClr val="bg1">
                <a:lumMod val="95000"/>
              </a:schemeClr>
            </a:solidFill>
            <a:ln w="25400">
              <a:solidFill>
                <a:schemeClr val="tx1">
                  <a:alpha val="9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pivots!$C$21</c:f>
              <c:strCache>
                <c:ptCount val="1"/>
                <c:pt idx="0">
                  <c:v>Call Count2</c:v>
                </c:pt>
              </c:strCache>
            </c:strRef>
          </c:tx>
          <c:spPr>
            <a:gradFill>
              <a:gsLst>
                <a:gs pos="100000">
                  <a:schemeClr val="accent1">
                    <a:lumMod val="45000"/>
                    <a:lumOff val="55000"/>
                  </a:schemeClr>
                </a:gs>
                <a:gs pos="16000">
                  <a:srgbClr val="0070C0"/>
                </a:gs>
              </a:gsLst>
              <a:lin ang="5400000" scaled="1"/>
            </a:gradFill>
            <a:ln>
              <a:noFill/>
            </a:ln>
            <a:effectLst/>
          </c:spPr>
          <c:cat>
            <c:strRef>
              <c:f>pivots!$A$22:$A$34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pivots!$C$22:$C$34</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633E-4882-92FD-00E926192181}"/>
            </c:ext>
          </c:extLst>
        </c:ser>
        <c:dLbls>
          <c:showLegendKey val="0"/>
          <c:showVal val="0"/>
          <c:showCatName val="0"/>
          <c:showSerName val="0"/>
          <c:showPercent val="0"/>
          <c:showBubbleSize val="0"/>
        </c:dLbls>
        <c:axId val="73309247"/>
        <c:axId val="73318367"/>
      </c:areaChart>
      <c:lineChart>
        <c:grouping val="standard"/>
        <c:varyColors val="0"/>
        <c:ser>
          <c:idx val="0"/>
          <c:order val="0"/>
          <c:tx>
            <c:strRef>
              <c:f>pivots!$B$21</c:f>
              <c:strCache>
                <c:ptCount val="1"/>
                <c:pt idx="0">
                  <c:v>Call Count</c:v>
                </c:pt>
              </c:strCache>
            </c:strRef>
          </c:tx>
          <c:spPr>
            <a:ln w="28575" cap="rnd">
              <a:solidFill>
                <a:schemeClr val="accent2"/>
              </a:solidFill>
              <a:round/>
            </a:ln>
            <a:effectLst/>
          </c:spPr>
          <c:marker>
            <c:symbol val="circle"/>
            <c:size val="7"/>
            <c:spPr>
              <a:solidFill>
                <a:schemeClr val="bg1">
                  <a:lumMod val="95000"/>
                </a:schemeClr>
              </a:solidFill>
              <a:ln w="25400">
                <a:solidFill>
                  <a:schemeClr val="tx1">
                    <a:alpha val="98000"/>
                  </a:schemeClr>
                </a:solidFill>
              </a:ln>
              <a:effectLst/>
            </c:spPr>
          </c:marker>
          <c:cat>
            <c:strRef>
              <c:f>pivots!$A$22:$A$34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pivots!$B$22:$B$34</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633E-4882-92FD-00E926192181}"/>
            </c:ext>
          </c:extLst>
        </c:ser>
        <c:dLbls>
          <c:showLegendKey val="0"/>
          <c:showVal val="0"/>
          <c:showCatName val="0"/>
          <c:showSerName val="0"/>
          <c:showPercent val="0"/>
          <c:showBubbleSize val="0"/>
        </c:dLbls>
        <c:marker val="1"/>
        <c:smooth val="0"/>
        <c:axId val="2100119007"/>
        <c:axId val="2100115647"/>
      </c:lineChart>
      <c:catAx>
        <c:axId val="2100119007"/>
        <c:scaling>
          <c:orientation val="minMax"/>
        </c:scaling>
        <c:delete val="1"/>
        <c:axPos val="b"/>
        <c:numFmt formatCode="General" sourceLinked="1"/>
        <c:majorTickMark val="out"/>
        <c:minorTickMark val="none"/>
        <c:tickLblPos val="nextTo"/>
        <c:crossAx val="2100115647"/>
        <c:crosses val="autoZero"/>
        <c:auto val="1"/>
        <c:lblAlgn val="ctr"/>
        <c:lblOffset val="100"/>
        <c:noMultiLvlLbl val="0"/>
      </c:catAx>
      <c:valAx>
        <c:axId val="210011564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2100119007"/>
        <c:crosses val="autoZero"/>
        <c:crossBetween val="between"/>
      </c:valAx>
      <c:valAx>
        <c:axId val="73318367"/>
        <c:scaling>
          <c:orientation val="minMax"/>
        </c:scaling>
        <c:delete val="1"/>
        <c:axPos val="r"/>
        <c:numFmt formatCode="#,##0" sourceLinked="1"/>
        <c:majorTickMark val="out"/>
        <c:minorTickMark val="none"/>
        <c:tickLblPos val="nextTo"/>
        <c:crossAx val="73309247"/>
        <c:crosses val="max"/>
        <c:crossBetween val="between"/>
      </c:valAx>
      <c:catAx>
        <c:axId val="73309247"/>
        <c:scaling>
          <c:orientation val="minMax"/>
        </c:scaling>
        <c:delete val="1"/>
        <c:axPos val="t"/>
        <c:numFmt formatCode="General" sourceLinked="1"/>
        <c:majorTickMark val="out"/>
        <c:minorTickMark val="none"/>
        <c:tickLblPos val="nextTo"/>
        <c:crossAx val="73318367"/>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Amount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lotArea>
      <c:layout>
        <c:manualLayout>
          <c:layoutTarget val="inner"/>
          <c:xMode val="edge"/>
          <c:yMode val="edge"/>
          <c:x val="0.10187094403566364"/>
          <c:y val="0.15328829819950621"/>
          <c:w val="0.7121643248233368"/>
          <c:h val="0.72645426362002874"/>
        </c:manualLayout>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pivots!$F$40:$F$44</c:f>
              <c:strCache>
                <c:ptCount val="5"/>
                <c:pt idx="0">
                  <c:v>R01</c:v>
                </c:pt>
                <c:pt idx="1">
                  <c:v>R02</c:v>
                </c:pt>
                <c:pt idx="2">
                  <c:v>R03</c:v>
                </c:pt>
                <c:pt idx="3">
                  <c:v>R04</c:v>
                </c:pt>
                <c:pt idx="4">
                  <c:v>R05</c:v>
                </c:pt>
              </c:strCache>
            </c:strRef>
          </c:cat>
          <c:val>
            <c:numRef>
              <c:f>pivots!$H$40:$H$44</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A7B7-411D-B220-AEF9E516F47A}"/>
            </c:ext>
          </c:extLst>
        </c:ser>
        <c:ser>
          <c:idx val="2"/>
          <c:order val="2"/>
          <c:tx>
            <c:strRef>
              <c:f>pivots!$J$39</c:f>
              <c:strCache>
                <c:ptCount val="1"/>
                <c:pt idx="0">
                  <c:v>Sel. Amount</c:v>
                </c:pt>
              </c:strCache>
            </c:strRef>
          </c:tx>
          <c:spPr>
            <a:solidFill>
              <a:schemeClr val="accent3"/>
            </a:solidFill>
            <a:ln>
              <a:noFill/>
            </a:ln>
            <a:effectLst/>
          </c:spPr>
          <c:invertIfNegative val="0"/>
          <c:dPt>
            <c:idx val="0"/>
            <c:invertIfNegative val="0"/>
            <c:bubble3D val="0"/>
            <c:spPr>
              <a:gradFill>
                <a:gsLst>
                  <a:gs pos="12000">
                    <a:srgbClr val="00B050"/>
                  </a:gs>
                  <a:gs pos="83000">
                    <a:schemeClr val="accent1">
                      <a:lumMod val="45000"/>
                      <a:lumOff val="55000"/>
                    </a:schemeClr>
                  </a:gs>
                  <a:gs pos="100000">
                    <a:schemeClr val="accent1">
                      <a:lumMod val="30000"/>
                      <a:lumOff val="70000"/>
                    </a:schemeClr>
                  </a:gs>
                </a:gsLst>
                <a:lin ang="5400000" scaled="1"/>
              </a:gradFill>
              <a:ln>
                <a:solidFill>
                  <a:schemeClr val="tx1">
                    <a:lumMod val="50000"/>
                    <a:lumOff val="50000"/>
                  </a:schemeClr>
                </a:solidFill>
              </a:ln>
              <a:effectLst/>
            </c:spPr>
            <c:extLst>
              <c:ext xmlns:c16="http://schemas.microsoft.com/office/drawing/2014/chart" uri="{C3380CC4-5D6E-409C-BE32-E72D297353CC}">
                <c16:uniqueId val="{00000002-A7B7-411D-B220-AEF9E516F4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pivots!$J$40:$J$44</c:f>
              <c:numCache>
                <c:formatCode>\$#,###.0,"k"</c:formatCode>
                <c:ptCount val="5"/>
                <c:pt idx="0">
                  <c:v>18415</c:v>
                </c:pt>
                <c:pt idx="1">
                  <c:v>#N/A</c:v>
                </c:pt>
                <c:pt idx="2">
                  <c:v>#N/A</c:v>
                </c:pt>
                <c:pt idx="3">
                  <c:v>#N/A</c:v>
                </c:pt>
                <c:pt idx="4">
                  <c:v>#N/A</c:v>
                </c:pt>
              </c:numCache>
            </c:numRef>
          </c:val>
          <c:extLst>
            <c:ext xmlns:c16="http://schemas.microsoft.com/office/drawing/2014/chart" uri="{C3380CC4-5D6E-409C-BE32-E72D297353CC}">
              <c16:uniqueId val="{00000003-A7B7-411D-B220-AEF9E516F47A}"/>
            </c:ext>
          </c:extLst>
        </c:ser>
        <c:dLbls>
          <c:dLblPos val="outEnd"/>
          <c:showLegendKey val="0"/>
          <c:showVal val="1"/>
          <c:showCatName val="0"/>
          <c:showSerName val="0"/>
          <c:showPercent val="0"/>
          <c:showBubbleSize val="0"/>
        </c:dLbls>
        <c:gapWidth val="30"/>
        <c:overlap val="100"/>
        <c:axId val="126813199"/>
        <c:axId val="126809359"/>
        <c:extLst>
          <c:ext xmlns:c15="http://schemas.microsoft.com/office/drawing/2012/chart" uri="{02D57815-91ED-43cb-92C2-25804820EDAC}">
            <c15:filteredBarSeries>
              <c15:ser>
                <c:idx val="1"/>
                <c:order val="1"/>
                <c:tx>
                  <c:strRef>
                    <c:extLst>
                      <c:ext uri="{02D57815-91ED-43cb-92C2-25804820EDAC}">
                        <c15:formulaRef>
                          <c15:sqref>pivots!$I$39</c15:sqref>
                        </c15:formulaRef>
                      </c:ext>
                    </c:extLst>
                    <c:strCache>
                      <c:ptCount val="1"/>
                      <c:pt idx="0">
                        <c:v>Sel Calls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pivots!$H$40:$H$44</c15:sqref>
                        </c15:formulaRef>
                      </c:ext>
                    </c:extLst>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4-A7B7-411D-B220-AEF9E516F47A}"/>
                  </c:ext>
                </c:extLst>
              </c15:ser>
            </c15:filteredBarSeries>
          </c:ext>
        </c:extLst>
      </c:barChart>
      <c:catAx>
        <c:axId val="126813199"/>
        <c:scaling>
          <c:orientation val="minMax"/>
        </c:scaling>
        <c:delete val="1"/>
        <c:axPos val="l"/>
        <c:numFmt formatCode="General" sourceLinked="1"/>
        <c:majorTickMark val="out"/>
        <c:minorTickMark val="none"/>
        <c:tickLblPos val="nextTo"/>
        <c:crossAx val="126809359"/>
        <c:crosses val="autoZero"/>
        <c:auto val="1"/>
        <c:lblAlgn val="ctr"/>
        <c:lblOffset val="100"/>
        <c:noMultiLvlLbl val="0"/>
      </c:catAx>
      <c:valAx>
        <c:axId val="126809359"/>
        <c:scaling>
          <c:orientation val="minMax"/>
        </c:scaling>
        <c:delete val="1"/>
        <c:axPos val="b"/>
        <c:numFmt formatCode="\$#,###.0,&quot;k&quot;" sourceLinked="1"/>
        <c:majorTickMark val="out"/>
        <c:minorTickMark val="none"/>
        <c:tickLblPos val="nextTo"/>
        <c:crossAx val="126813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4"/>
                </a:solidFill>
                <a:latin typeface="+mn-lt"/>
                <a:ea typeface="+mn-ea"/>
                <a:cs typeface="+mn-cs"/>
              </a:defRPr>
            </a:pPr>
            <a:r>
              <a:rPr lang="en-US" b="1">
                <a:solidFill>
                  <a:schemeClr val="accent4"/>
                </a:solidFill>
              </a:rPr>
              <a:t>Calls</a:t>
            </a:r>
          </a:p>
        </c:rich>
      </c:tx>
      <c:layout>
        <c:manualLayout>
          <c:xMode val="edge"/>
          <c:yMode val="edge"/>
          <c:x val="0.31286572566474485"/>
          <c:y val="2.1187934055474849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accent4"/>
              </a:solidFill>
              <a:latin typeface="+mn-lt"/>
              <a:ea typeface="+mn-ea"/>
              <a:cs typeface="+mn-cs"/>
            </a:defRPr>
          </a:pPr>
          <a:endParaRPr lang="en-US"/>
        </a:p>
      </c:txPr>
    </c:title>
    <c:autoTitleDeleted val="0"/>
    <c:plotArea>
      <c:layout>
        <c:manualLayout>
          <c:layoutTarget val="inner"/>
          <c:xMode val="edge"/>
          <c:yMode val="edge"/>
          <c:x val="0.10729599187614246"/>
          <c:y val="0.14430329234210834"/>
          <c:w val="0.8064505931739131"/>
          <c:h val="0.66638987704450492"/>
        </c:manualLayout>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pivots!$F$40:$F$44</c:f>
              <c:strCache>
                <c:ptCount val="5"/>
                <c:pt idx="0">
                  <c:v>R01</c:v>
                </c:pt>
                <c:pt idx="1">
                  <c:v>R02</c:v>
                </c:pt>
                <c:pt idx="2">
                  <c:v>R03</c:v>
                </c:pt>
                <c:pt idx="3">
                  <c:v>R04</c:v>
                </c:pt>
                <c:pt idx="4">
                  <c:v>R05</c:v>
                </c:pt>
              </c:strCache>
            </c:strRef>
          </c:cat>
          <c:val>
            <c:numRef>
              <c:f>pivots!$G$40:$G$44</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3ACF-4FA8-BC06-147629F6FD23}"/>
            </c:ext>
          </c:extLst>
        </c:ser>
        <c:ser>
          <c:idx val="1"/>
          <c:order val="1"/>
          <c:tx>
            <c:strRef>
              <c:f>pivots!$I$39</c:f>
              <c:strCache>
                <c:ptCount val="1"/>
                <c:pt idx="0">
                  <c:v>Sel Calls</c:v>
                </c:pt>
              </c:strCache>
            </c:strRef>
          </c:tx>
          <c:spPr>
            <a:gradFill>
              <a:gsLst>
                <a:gs pos="13000">
                  <a:srgbClr val="00B050"/>
                </a:gs>
                <a:gs pos="83000">
                  <a:schemeClr val="accent1">
                    <a:lumMod val="45000"/>
                    <a:lumOff val="55000"/>
                  </a:schemeClr>
                </a:gs>
                <a:gs pos="100000">
                  <a:schemeClr val="accent1">
                    <a:lumMod val="30000"/>
                    <a:lumOff val="70000"/>
                  </a:schemeClr>
                </a:gs>
              </a:gsLst>
              <a:lin ang="5400000" scaled="1"/>
            </a:gradFill>
            <a:ln>
              <a:noFill/>
            </a:ln>
            <a:effectLst/>
          </c:spPr>
          <c:invertIfNegative val="0"/>
          <c:val>
            <c:numRef>
              <c:f>pivots!$I$40:$I$44</c:f>
              <c:numCache>
                <c:formatCode>\$#,###.0,"k"</c:formatCode>
                <c:ptCount val="5"/>
                <c:pt idx="0">
                  <c:v>189</c:v>
                </c:pt>
                <c:pt idx="1">
                  <c:v>#N/A</c:v>
                </c:pt>
                <c:pt idx="2">
                  <c:v>#N/A</c:v>
                </c:pt>
                <c:pt idx="3">
                  <c:v>#N/A</c:v>
                </c:pt>
                <c:pt idx="4">
                  <c:v>#N/A</c:v>
                </c:pt>
              </c:numCache>
            </c:numRef>
          </c:val>
          <c:extLst>
            <c:ext xmlns:c16="http://schemas.microsoft.com/office/drawing/2014/chart" uri="{C3380CC4-5D6E-409C-BE32-E72D297353CC}">
              <c16:uniqueId val="{00000001-3ACF-4FA8-BC06-147629F6FD23}"/>
            </c:ext>
          </c:extLst>
        </c:ser>
        <c:dLbls>
          <c:showLegendKey val="0"/>
          <c:showVal val="0"/>
          <c:showCatName val="0"/>
          <c:showSerName val="0"/>
          <c:showPercent val="0"/>
          <c:showBubbleSize val="0"/>
        </c:dLbls>
        <c:gapWidth val="30"/>
        <c:overlap val="100"/>
        <c:axId val="116409279"/>
        <c:axId val="116410239"/>
      </c:barChart>
      <c:catAx>
        <c:axId val="1164092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10239"/>
        <c:crosses val="autoZero"/>
        <c:auto val="1"/>
        <c:lblAlgn val="ctr"/>
        <c:lblOffset val="100"/>
        <c:noMultiLvlLbl val="0"/>
      </c:catAx>
      <c:valAx>
        <c:axId val="116410239"/>
        <c:scaling>
          <c:orientation val="minMax"/>
          <c:min val="0"/>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09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[07.sample-data-excel-portfolio-project.xlsx]pivots!PivotTable6</c:name>
    <c:fmtId val="5"/>
  </c:pivotSource>
  <c:chart>
    <c:title>
      <c:tx>
        <c:rich>
          <a:bodyPr rot="0" spcFirstLastPara="1" vertOverflow="ellipsis" vert="horz" wrap="square" anchor="ctr" anchorCtr="1"/>
          <a:lstStyle/>
          <a:p>
            <a:pPr>
              <a:defRPr sz="1000" b="1" i="0" u="none" strike="noStrike" kern="1200" spc="0" baseline="0">
                <a:solidFill>
                  <a:schemeClr val="accent5">
                    <a:lumMod val="75000"/>
                  </a:schemeClr>
                </a:solidFill>
                <a:latin typeface="+mn-lt"/>
                <a:ea typeface="+mn-ea"/>
                <a:cs typeface="+mn-cs"/>
              </a:defRPr>
            </a:pPr>
            <a:r>
              <a:rPr lang="en-IN" sz="1000" b="1">
                <a:solidFill>
                  <a:schemeClr val="accent5">
                    <a:lumMod val="75000"/>
                  </a:schemeClr>
                </a:solidFill>
              </a:rPr>
              <a:t>Female</a:t>
            </a:r>
            <a:r>
              <a:rPr lang="en-IN" sz="1000" b="1" baseline="0">
                <a:solidFill>
                  <a:schemeClr val="accent5">
                    <a:lumMod val="75000"/>
                  </a:schemeClr>
                </a:solidFill>
              </a:rPr>
              <a:t> vs Male</a:t>
            </a:r>
            <a:endParaRPr lang="en-IN" sz="1000" b="1">
              <a:solidFill>
                <a:schemeClr val="accent5">
                  <a:lumMod val="75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hade val="76000"/>
            </a:schemeClr>
          </a:solidFill>
          <a:ln>
            <a:noFill/>
          </a:ln>
          <a:effectLst/>
        </c:spPr>
      </c:pivotFmt>
      <c:pivotFmt>
        <c:idx val="7"/>
        <c:spPr>
          <a:solidFill>
            <a:schemeClr val="accent4">
              <a:shade val="76000"/>
            </a:schemeClr>
          </a:solidFill>
          <a:ln>
            <a:noFill/>
          </a:ln>
          <a:effectLst/>
        </c:spPr>
      </c:pivotFmt>
      <c:pivotFmt>
        <c:idx val="8"/>
        <c:spPr>
          <a:solidFill>
            <a:schemeClr val="accent4">
              <a:shade val="76000"/>
            </a:schemeClr>
          </a:solidFill>
          <a:ln>
            <a:noFill/>
          </a:ln>
          <a:effectLst/>
        </c:spPr>
      </c:pivotFmt>
    </c:pivotFmts>
    <c:plotArea>
      <c:layout/>
      <c:barChart>
        <c:barDir val="col"/>
        <c:grouping val="percentStacked"/>
        <c:varyColors val="0"/>
        <c:ser>
          <c:idx val="0"/>
          <c:order val="0"/>
          <c:tx>
            <c:strRef>
              <c:f>pivots!$B$54:$B$55</c:f>
              <c:strCache>
                <c:ptCount val="1"/>
                <c:pt idx="0">
                  <c:v>Female</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pivots!$A$56:$A$59</c:f>
              <c:strCache>
                <c:ptCount val="3"/>
                <c:pt idx="0">
                  <c:v>Cincinnati</c:v>
                </c:pt>
                <c:pt idx="1">
                  <c:v>Cleveland</c:v>
                </c:pt>
                <c:pt idx="2">
                  <c:v>Columbus</c:v>
                </c:pt>
              </c:strCache>
            </c:strRef>
          </c:cat>
          <c:val>
            <c:numRef>
              <c:f>pivots!$B$56:$B$59</c:f>
              <c:numCache>
                <c:formatCode>#,##0</c:formatCode>
                <c:ptCount val="3"/>
                <c:pt idx="0">
                  <c:v>144</c:v>
                </c:pt>
                <c:pt idx="1">
                  <c:v>326</c:v>
                </c:pt>
                <c:pt idx="2">
                  <c:v>129</c:v>
                </c:pt>
              </c:numCache>
            </c:numRef>
          </c:val>
          <c:extLst>
            <c:ext xmlns:c16="http://schemas.microsoft.com/office/drawing/2014/chart" uri="{C3380CC4-5D6E-409C-BE32-E72D297353CC}">
              <c16:uniqueId val="{00000000-9B8C-4D45-8799-BFF1F7530DC4}"/>
            </c:ext>
          </c:extLst>
        </c:ser>
        <c:ser>
          <c:idx val="1"/>
          <c:order val="1"/>
          <c:tx>
            <c:strRef>
              <c:f>pivots!$C$54:$C$55</c:f>
              <c:strCache>
                <c:ptCount val="1"/>
                <c:pt idx="0">
                  <c:v>Male</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pivots!$A$56:$A$59</c:f>
              <c:strCache>
                <c:ptCount val="3"/>
                <c:pt idx="0">
                  <c:v>Cincinnati</c:v>
                </c:pt>
                <c:pt idx="1">
                  <c:v>Cleveland</c:v>
                </c:pt>
                <c:pt idx="2">
                  <c:v>Columbus</c:v>
                </c:pt>
              </c:strCache>
            </c:strRef>
          </c:cat>
          <c:val>
            <c:numRef>
              <c:f>pivots!$C$56:$C$59</c:f>
              <c:numCache>
                <c:formatCode>#,##0</c:formatCode>
                <c:ptCount val="3"/>
                <c:pt idx="0">
                  <c:v>132</c:v>
                </c:pt>
                <c:pt idx="1">
                  <c:v>63</c:v>
                </c:pt>
                <c:pt idx="2">
                  <c:v>206</c:v>
                </c:pt>
              </c:numCache>
            </c:numRef>
          </c:val>
          <c:extLst>
            <c:ext xmlns:c16="http://schemas.microsoft.com/office/drawing/2014/chart" uri="{C3380CC4-5D6E-409C-BE32-E72D297353CC}">
              <c16:uniqueId val="{00000001-9B8C-4D45-8799-BFF1F7530DC4}"/>
            </c:ext>
          </c:extLst>
        </c:ser>
        <c:dLbls>
          <c:dLblPos val="ctr"/>
          <c:showLegendKey val="0"/>
          <c:showVal val="1"/>
          <c:showCatName val="0"/>
          <c:showSerName val="0"/>
          <c:showPercent val="0"/>
          <c:showBubbleSize val="0"/>
        </c:dLbls>
        <c:gapWidth val="25"/>
        <c:overlap val="100"/>
        <c:axId val="126807439"/>
        <c:axId val="126814639"/>
      </c:barChart>
      <c:catAx>
        <c:axId val="126807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14639"/>
        <c:crosses val="autoZero"/>
        <c:auto val="1"/>
        <c:lblAlgn val="ctr"/>
        <c:lblOffset val="100"/>
        <c:noMultiLvlLbl val="0"/>
      </c:catAx>
      <c:valAx>
        <c:axId val="126814639"/>
        <c:scaling>
          <c:orientation val="minMax"/>
        </c:scaling>
        <c:delete val="1"/>
        <c:axPos val="l"/>
        <c:numFmt formatCode="0%" sourceLinked="1"/>
        <c:majorTickMark val="out"/>
        <c:minorTickMark val="none"/>
        <c:tickLblPos val="nextTo"/>
        <c:crossAx val="126807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[07.sample-data-excel-portfolio-project.xlsx]pivots!rep satisfction pivot</c:name>
    <c:fmtId val="13"/>
  </c:pivotSource>
  <c:chart>
    <c:title>
      <c:tx>
        <c:rich>
          <a:bodyPr rot="0" spcFirstLastPara="1" vertOverflow="ellipsis" vert="horz" wrap="square" anchor="ctr" anchorCtr="1"/>
          <a:lstStyle/>
          <a:p>
            <a:pPr>
              <a:defRPr sz="1050" b="0" i="0" u="none" strike="noStrike" kern="1200" spc="0" baseline="0">
                <a:solidFill>
                  <a:srgbClr val="00B050"/>
                </a:solidFill>
                <a:latin typeface="+mn-lt"/>
                <a:ea typeface="+mn-ea"/>
                <a:cs typeface="+mn-cs"/>
              </a:defRPr>
            </a:pPr>
            <a:r>
              <a:rPr lang="en-US" sz="1050">
                <a:solidFill>
                  <a:srgbClr val="00B050"/>
                </a:solidFill>
              </a:rPr>
              <a:t>Rating</a:t>
            </a:r>
          </a:p>
        </c:rich>
      </c:tx>
      <c:layout>
        <c:manualLayout>
          <c:xMode val="edge"/>
          <c:yMode val="edge"/>
          <c:x val="0.58211796442111408"/>
          <c:y val="6.6324134997198692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rgbClr val="00B05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155631996264127E-2"/>
          <c:y val="0.18194435326570038"/>
          <c:w val="0.89530557544649703"/>
          <c:h val="0.77756274051797603"/>
        </c:manualLayout>
      </c:layout>
      <c:barChart>
        <c:barDir val="col"/>
        <c:grouping val="clustered"/>
        <c:varyColors val="0"/>
        <c:ser>
          <c:idx val="0"/>
          <c:order val="0"/>
          <c:tx>
            <c:strRef>
              <c:f>pivots!$B$72</c:f>
              <c:strCache>
                <c:ptCount val="1"/>
                <c:pt idx="0">
                  <c:v>Total</c:v>
                </c:pt>
              </c:strCache>
            </c:strRef>
          </c:tx>
          <c:spPr>
            <a:solidFill>
              <a:schemeClr val="accent5"/>
            </a:solidFill>
            <a:ln>
              <a:noFill/>
            </a:ln>
            <a:effectLst/>
          </c:spPr>
          <c:invertIfNegative val="0"/>
          <c:cat>
            <c:strRef>
              <c:f>pivots!$A$73:$A$79</c:f>
              <c:strCache>
                <c:ptCount val="6"/>
                <c:pt idx="0">
                  <c:v>0</c:v>
                </c:pt>
                <c:pt idx="1">
                  <c:v>1</c:v>
                </c:pt>
                <c:pt idx="2">
                  <c:v>2</c:v>
                </c:pt>
                <c:pt idx="3">
                  <c:v>3</c:v>
                </c:pt>
                <c:pt idx="4">
                  <c:v>4</c:v>
                </c:pt>
                <c:pt idx="5">
                  <c:v>5</c:v>
                </c:pt>
              </c:strCache>
            </c:strRef>
          </c:cat>
          <c:val>
            <c:numRef>
              <c:f>pivots!$B$73:$B$79</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5E08-43E5-B403-EA54472CF06D}"/>
            </c:ext>
          </c:extLst>
        </c:ser>
        <c:dLbls>
          <c:showLegendKey val="0"/>
          <c:showVal val="0"/>
          <c:showCatName val="0"/>
          <c:showSerName val="0"/>
          <c:showPercent val="0"/>
          <c:showBubbleSize val="0"/>
        </c:dLbls>
        <c:gapWidth val="25"/>
        <c:axId val="129181327"/>
        <c:axId val="129198127"/>
      </c:barChart>
      <c:catAx>
        <c:axId val="129181327"/>
        <c:scaling>
          <c:orientation val="minMax"/>
        </c:scaling>
        <c:delete val="1"/>
        <c:axPos val="b"/>
        <c:numFmt formatCode="General" sourceLinked="1"/>
        <c:majorTickMark val="none"/>
        <c:minorTickMark val="none"/>
        <c:tickLblPos val="nextTo"/>
        <c:crossAx val="129198127"/>
        <c:crosses val="autoZero"/>
        <c:auto val="1"/>
        <c:lblAlgn val="ctr"/>
        <c:lblOffset val="100"/>
        <c:noMultiLvlLbl val="0"/>
      </c:catAx>
      <c:valAx>
        <c:axId val="129198127"/>
        <c:scaling>
          <c:orientation val="minMax"/>
        </c:scaling>
        <c:delete val="1"/>
        <c:axPos val="l"/>
        <c:numFmt formatCode="#,##0" sourceLinked="1"/>
        <c:majorTickMark val="none"/>
        <c:minorTickMark val="none"/>
        <c:tickLblPos val="nextTo"/>
        <c:crossAx val="129181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pivots!$F$40:$F$44</c:f>
              <c:strCache>
                <c:ptCount val="5"/>
                <c:pt idx="0">
                  <c:v>R01</c:v>
                </c:pt>
                <c:pt idx="1">
                  <c:v>R02</c:v>
                </c:pt>
                <c:pt idx="2">
                  <c:v>R03</c:v>
                </c:pt>
                <c:pt idx="3">
                  <c:v>R04</c:v>
                </c:pt>
                <c:pt idx="4">
                  <c:v>R05</c:v>
                </c:pt>
              </c:strCache>
            </c:strRef>
          </c:cat>
          <c:val>
            <c:numRef>
              <c:f>pivots!$G$40:$G$44</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9C68-4F44-A275-3FC39CC4C383}"/>
            </c:ext>
          </c:extLst>
        </c:ser>
        <c:ser>
          <c:idx val="1"/>
          <c:order val="1"/>
          <c:tx>
            <c:strRef>
              <c:f>pivots!$I$39</c:f>
              <c:strCache>
                <c:ptCount val="1"/>
                <c:pt idx="0">
                  <c:v>Sel Calls</c:v>
                </c:pt>
              </c:strCache>
            </c:strRef>
          </c:tx>
          <c:spPr>
            <a:gradFill>
              <a:gsLst>
                <a:gs pos="13000">
                  <a:srgbClr val="00B050"/>
                </a:gs>
                <a:gs pos="83000">
                  <a:schemeClr val="accent1">
                    <a:lumMod val="45000"/>
                    <a:lumOff val="55000"/>
                  </a:schemeClr>
                </a:gs>
                <a:gs pos="100000">
                  <a:schemeClr val="accent1">
                    <a:lumMod val="30000"/>
                    <a:lumOff val="70000"/>
                  </a:schemeClr>
                </a:gs>
              </a:gsLst>
              <a:lin ang="5400000" scaled="1"/>
            </a:gradFill>
            <a:ln>
              <a:noFill/>
            </a:ln>
            <a:effectLst/>
          </c:spPr>
          <c:invertIfNegative val="0"/>
          <c:val>
            <c:numRef>
              <c:f>pivots!$I$40:$I$44</c:f>
              <c:numCache>
                <c:formatCode>\$#,###.0,"k"</c:formatCode>
                <c:ptCount val="5"/>
                <c:pt idx="0">
                  <c:v>189</c:v>
                </c:pt>
                <c:pt idx="1">
                  <c:v>#N/A</c:v>
                </c:pt>
                <c:pt idx="2">
                  <c:v>#N/A</c:v>
                </c:pt>
                <c:pt idx="3">
                  <c:v>#N/A</c:v>
                </c:pt>
                <c:pt idx="4">
                  <c:v>#N/A</c:v>
                </c:pt>
              </c:numCache>
            </c:numRef>
          </c:val>
          <c:extLst>
            <c:ext xmlns:c16="http://schemas.microsoft.com/office/drawing/2014/chart" uri="{C3380CC4-5D6E-409C-BE32-E72D297353CC}">
              <c16:uniqueId val="{00000001-9C68-4F44-A275-3FC39CC4C383}"/>
            </c:ext>
          </c:extLst>
        </c:ser>
        <c:dLbls>
          <c:showLegendKey val="0"/>
          <c:showVal val="0"/>
          <c:showCatName val="0"/>
          <c:showSerName val="0"/>
          <c:showPercent val="0"/>
          <c:showBubbleSize val="0"/>
        </c:dLbls>
        <c:gapWidth val="30"/>
        <c:overlap val="100"/>
        <c:axId val="116409279"/>
        <c:axId val="116410239"/>
      </c:barChart>
      <c:catAx>
        <c:axId val="1164092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10239"/>
        <c:crosses val="autoZero"/>
        <c:auto val="1"/>
        <c:lblAlgn val="ctr"/>
        <c:lblOffset val="100"/>
        <c:noMultiLvlLbl val="0"/>
      </c:catAx>
      <c:valAx>
        <c:axId val="116410239"/>
        <c:scaling>
          <c:orientation val="minMax"/>
          <c:min val="0"/>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09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pivots!$F$40:$F$44</c:f>
              <c:strCache>
                <c:ptCount val="5"/>
                <c:pt idx="0">
                  <c:v>R01</c:v>
                </c:pt>
                <c:pt idx="1">
                  <c:v>R02</c:v>
                </c:pt>
                <c:pt idx="2">
                  <c:v>R03</c:v>
                </c:pt>
                <c:pt idx="3">
                  <c:v>R04</c:v>
                </c:pt>
                <c:pt idx="4">
                  <c:v>R05</c:v>
                </c:pt>
              </c:strCache>
            </c:strRef>
          </c:cat>
          <c:val>
            <c:numRef>
              <c:f>pivots!$H$40:$H$44</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7BE2-4A96-A43D-5BB84F7ADDFF}"/>
            </c:ext>
          </c:extLst>
        </c:ser>
        <c:ser>
          <c:idx val="2"/>
          <c:order val="2"/>
          <c:tx>
            <c:strRef>
              <c:f>pivots!$J$39</c:f>
              <c:strCache>
                <c:ptCount val="1"/>
                <c:pt idx="0">
                  <c:v>Sel. Amount</c:v>
                </c:pt>
              </c:strCache>
            </c:strRef>
          </c:tx>
          <c:spPr>
            <a:solidFill>
              <a:schemeClr val="accent3"/>
            </a:solidFill>
            <a:ln>
              <a:noFill/>
            </a:ln>
            <a:effectLst/>
          </c:spPr>
          <c:invertIfNegative val="0"/>
          <c:dPt>
            <c:idx val="0"/>
            <c:invertIfNegative val="0"/>
            <c:bubble3D val="0"/>
            <c:spPr>
              <a:gradFill>
                <a:gsLst>
                  <a:gs pos="12000">
                    <a:srgbClr val="00B050"/>
                  </a:gs>
                  <a:gs pos="83000">
                    <a:schemeClr val="accent1">
                      <a:lumMod val="45000"/>
                      <a:lumOff val="55000"/>
                    </a:schemeClr>
                  </a:gs>
                  <a:gs pos="100000">
                    <a:schemeClr val="accent1">
                      <a:lumMod val="30000"/>
                      <a:lumOff val="70000"/>
                    </a:schemeClr>
                  </a:gs>
                </a:gsLst>
                <a:lin ang="5400000" scaled="1"/>
              </a:gradFill>
              <a:ln>
                <a:solidFill>
                  <a:schemeClr val="tx1">
                    <a:lumMod val="50000"/>
                    <a:lumOff val="50000"/>
                  </a:schemeClr>
                </a:solidFill>
              </a:ln>
              <a:effectLst/>
            </c:spPr>
            <c:extLst>
              <c:ext xmlns:c16="http://schemas.microsoft.com/office/drawing/2014/chart" uri="{C3380CC4-5D6E-409C-BE32-E72D297353CC}">
                <c16:uniqueId val="{00000003-7BE2-4A96-A43D-5BB84F7ADD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pivots!$J$40:$J$44</c:f>
              <c:numCache>
                <c:formatCode>\$#,###.0,"k"</c:formatCode>
                <c:ptCount val="5"/>
                <c:pt idx="0">
                  <c:v>18415</c:v>
                </c:pt>
                <c:pt idx="1">
                  <c:v>#N/A</c:v>
                </c:pt>
                <c:pt idx="2">
                  <c:v>#N/A</c:v>
                </c:pt>
                <c:pt idx="3">
                  <c:v>#N/A</c:v>
                </c:pt>
                <c:pt idx="4">
                  <c:v>#N/A</c:v>
                </c:pt>
              </c:numCache>
            </c:numRef>
          </c:val>
          <c:extLst>
            <c:ext xmlns:c16="http://schemas.microsoft.com/office/drawing/2014/chart" uri="{C3380CC4-5D6E-409C-BE32-E72D297353CC}">
              <c16:uniqueId val="{00000002-7BE2-4A96-A43D-5BB84F7ADDFF}"/>
            </c:ext>
          </c:extLst>
        </c:ser>
        <c:dLbls>
          <c:dLblPos val="outEnd"/>
          <c:showLegendKey val="0"/>
          <c:showVal val="1"/>
          <c:showCatName val="0"/>
          <c:showSerName val="0"/>
          <c:showPercent val="0"/>
          <c:showBubbleSize val="0"/>
        </c:dLbls>
        <c:gapWidth val="30"/>
        <c:overlap val="100"/>
        <c:axId val="126813199"/>
        <c:axId val="126809359"/>
        <c:extLst>
          <c:ext xmlns:c15="http://schemas.microsoft.com/office/drawing/2012/chart" uri="{02D57815-91ED-43cb-92C2-25804820EDAC}">
            <c15:filteredBarSeries>
              <c15:ser>
                <c:idx val="1"/>
                <c:order val="1"/>
                <c:tx>
                  <c:strRef>
                    <c:extLst>
                      <c:ext uri="{02D57815-91ED-43cb-92C2-25804820EDAC}">
                        <c15:formulaRef>
                          <c15:sqref>pivots!$I$39</c15:sqref>
                        </c15:formulaRef>
                      </c:ext>
                    </c:extLst>
                    <c:strCache>
                      <c:ptCount val="1"/>
                      <c:pt idx="0">
                        <c:v>Sel Calls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pivots!$H$40:$H$44</c15:sqref>
                        </c15:formulaRef>
                      </c:ext>
                    </c:extLst>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1-7BE2-4A96-A43D-5BB84F7ADDFF}"/>
                  </c:ext>
                </c:extLst>
              </c15:ser>
            </c15:filteredBarSeries>
          </c:ext>
        </c:extLst>
      </c:barChart>
      <c:catAx>
        <c:axId val="1268131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09359"/>
        <c:crosses val="autoZero"/>
        <c:auto val="1"/>
        <c:lblAlgn val="ctr"/>
        <c:lblOffset val="100"/>
        <c:noMultiLvlLbl val="0"/>
      </c:catAx>
      <c:valAx>
        <c:axId val="126809359"/>
        <c:scaling>
          <c:orientation val="minMax"/>
        </c:scaling>
        <c:delete val="0"/>
        <c:axPos val="b"/>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13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pivots!$B$54:$B$55</c:f>
              <c:strCache>
                <c:ptCount val="1"/>
                <c:pt idx="0">
                  <c:v>Female</c:v>
                </c:pt>
              </c:strCache>
            </c:strRef>
          </c:tx>
          <c:spPr>
            <a:solidFill>
              <a:schemeClr val="accent1"/>
            </a:solidFill>
            <a:ln>
              <a:noFill/>
            </a:ln>
            <a:effectLst/>
          </c:spPr>
          <c:invertIfNegative val="0"/>
          <c:cat>
            <c:strRef>
              <c:f>pivots!$A$56:$A$59</c:f>
              <c:strCache>
                <c:ptCount val="3"/>
                <c:pt idx="0">
                  <c:v>Cincinnati</c:v>
                </c:pt>
                <c:pt idx="1">
                  <c:v>Cleveland</c:v>
                </c:pt>
                <c:pt idx="2">
                  <c:v>Columbus</c:v>
                </c:pt>
              </c:strCache>
            </c:strRef>
          </c:cat>
          <c:val>
            <c:numRef>
              <c:f>pivots!$B$56:$B$59</c:f>
              <c:numCache>
                <c:formatCode>#,##0</c:formatCode>
                <c:ptCount val="3"/>
                <c:pt idx="0">
                  <c:v>144</c:v>
                </c:pt>
                <c:pt idx="1">
                  <c:v>326</c:v>
                </c:pt>
                <c:pt idx="2">
                  <c:v>129</c:v>
                </c:pt>
              </c:numCache>
            </c:numRef>
          </c:val>
          <c:extLst>
            <c:ext xmlns:c16="http://schemas.microsoft.com/office/drawing/2014/chart" uri="{C3380CC4-5D6E-409C-BE32-E72D297353CC}">
              <c16:uniqueId val="{00000000-1515-4FF5-A84F-6E4ED6A818E6}"/>
            </c:ext>
          </c:extLst>
        </c:ser>
        <c:ser>
          <c:idx val="1"/>
          <c:order val="1"/>
          <c:tx>
            <c:strRef>
              <c:f>pivots!$C$54:$C$55</c:f>
              <c:strCache>
                <c:ptCount val="1"/>
                <c:pt idx="0">
                  <c:v>Male</c:v>
                </c:pt>
              </c:strCache>
            </c:strRef>
          </c:tx>
          <c:spPr>
            <a:solidFill>
              <a:schemeClr val="accent2"/>
            </a:solidFill>
            <a:ln>
              <a:noFill/>
            </a:ln>
            <a:effectLst/>
          </c:spPr>
          <c:invertIfNegative val="0"/>
          <c:cat>
            <c:strRef>
              <c:f>pivots!$A$56:$A$59</c:f>
              <c:strCache>
                <c:ptCount val="3"/>
                <c:pt idx="0">
                  <c:v>Cincinnati</c:v>
                </c:pt>
                <c:pt idx="1">
                  <c:v>Cleveland</c:v>
                </c:pt>
                <c:pt idx="2">
                  <c:v>Columbus</c:v>
                </c:pt>
              </c:strCache>
            </c:strRef>
          </c:cat>
          <c:val>
            <c:numRef>
              <c:f>pivots!$C$56:$C$59</c:f>
              <c:numCache>
                <c:formatCode>#,##0</c:formatCode>
                <c:ptCount val="3"/>
                <c:pt idx="0">
                  <c:v>132</c:v>
                </c:pt>
                <c:pt idx="1">
                  <c:v>63</c:v>
                </c:pt>
                <c:pt idx="2">
                  <c:v>206</c:v>
                </c:pt>
              </c:numCache>
            </c:numRef>
          </c:val>
          <c:extLst>
            <c:ext xmlns:c16="http://schemas.microsoft.com/office/drawing/2014/chart" uri="{C3380CC4-5D6E-409C-BE32-E72D297353CC}">
              <c16:uniqueId val="{00000001-1515-4FF5-A84F-6E4ED6A818E6}"/>
            </c:ext>
          </c:extLst>
        </c:ser>
        <c:dLbls>
          <c:showLegendKey val="0"/>
          <c:showVal val="0"/>
          <c:showCatName val="0"/>
          <c:showSerName val="0"/>
          <c:showPercent val="0"/>
          <c:showBubbleSize val="0"/>
        </c:dLbls>
        <c:gapWidth val="150"/>
        <c:overlap val="100"/>
        <c:axId val="126807439"/>
        <c:axId val="126814639"/>
      </c:barChart>
      <c:catAx>
        <c:axId val="12680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14639"/>
        <c:crosses val="autoZero"/>
        <c:auto val="1"/>
        <c:lblAlgn val="ctr"/>
        <c:lblOffset val="100"/>
        <c:noMultiLvlLbl val="0"/>
      </c:catAx>
      <c:valAx>
        <c:axId val="1268146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0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[07.sample-data-excel-portfolio-project.xlsx]pivots!rep satisfction pivot</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pivots!$B$72</c:f>
              <c:strCache>
                <c:ptCount val="1"/>
                <c:pt idx="0">
                  <c:v>Total</c:v>
                </c:pt>
              </c:strCache>
            </c:strRef>
          </c:tx>
          <c:spPr>
            <a:solidFill>
              <a:schemeClr val="accent1"/>
            </a:solidFill>
            <a:ln>
              <a:noFill/>
            </a:ln>
            <a:effectLst/>
          </c:spPr>
          <c:invertIfNegative val="0"/>
          <c:cat>
            <c:strRef>
              <c:f>pivots!$A$73:$A$79</c:f>
              <c:strCache>
                <c:ptCount val="6"/>
                <c:pt idx="0">
                  <c:v>0</c:v>
                </c:pt>
                <c:pt idx="1">
                  <c:v>1</c:v>
                </c:pt>
                <c:pt idx="2">
                  <c:v>2</c:v>
                </c:pt>
                <c:pt idx="3">
                  <c:v>3</c:v>
                </c:pt>
                <c:pt idx="4">
                  <c:v>4</c:v>
                </c:pt>
                <c:pt idx="5">
                  <c:v>5</c:v>
                </c:pt>
              </c:strCache>
            </c:strRef>
          </c:cat>
          <c:val>
            <c:numRef>
              <c:f>pivots!$B$73:$B$79</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AA66-450A-BECF-DD79ED1B322E}"/>
            </c:ext>
          </c:extLst>
        </c:ser>
        <c:dLbls>
          <c:showLegendKey val="0"/>
          <c:showVal val="0"/>
          <c:showCatName val="0"/>
          <c:showSerName val="0"/>
          <c:showPercent val="0"/>
          <c:showBubbleSize val="0"/>
        </c:dLbls>
        <c:gapWidth val="150"/>
        <c:axId val="129181327"/>
        <c:axId val="129198127"/>
      </c:barChart>
      <c:catAx>
        <c:axId val="12918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98127"/>
        <c:crosses val="autoZero"/>
        <c:auto val="1"/>
        <c:lblAlgn val="ctr"/>
        <c:lblOffset val="100"/>
        <c:noMultiLvlLbl val="0"/>
      </c:catAx>
      <c:valAx>
        <c:axId val="1291981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8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6.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1.xml"/><Relationship Id="rId5" Type="http://schemas.openxmlformats.org/officeDocument/2006/relationships/image" Target="../media/image10.png"/><Relationship Id="rId15" Type="http://schemas.openxmlformats.org/officeDocument/2006/relationships/chart" Target="../charts/chart5.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image" Target="../media/image17.svg"/><Relationship Id="rId3" Type="http://schemas.openxmlformats.org/officeDocument/2006/relationships/image" Target="../media/image10.png"/><Relationship Id="rId7" Type="http://schemas.openxmlformats.org/officeDocument/2006/relationships/image" Target="../media/image16.png"/><Relationship Id="rId12" Type="http://schemas.openxmlformats.org/officeDocument/2006/relationships/image" Target="../media/image13.svg"/><Relationship Id="rId2" Type="http://schemas.openxmlformats.org/officeDocument/2006/relationships/image" Target="../media/image15.svg"/><Relationship Id="rId1" Type="http://schemas.openxmlformats.org/officeDocument/2006/relationships/image" Target="../media/image14.png"/><Relationship Id="rId6" Type="http://schemas.openxmlformats.org/officeDocument/2006/relationships/image" Target="../media/image9.svg"/><Relationship Id="rId11" Type="http://schemas.openxmlformats.org/officeDocument/2006/relationships/image" Target="../media/image12.png"/><Relationship Id="rId5" Type="http://schemas.openxmlformats.org/officeDocument/2006/relationships/image" Target="../media/image8.png"/><Relationship Id="rId10" Type="http://schemas.openxmlformats.org/officeDocument/2006/relationships/image" Target="../media/image7.svg"/><Relationship Id="rId4" Type="http://schemas.openxmlformats.org/officeDocument/2006/relationships/image" Target="../media/image11.svg"/><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4</xdr:col>
      <xdr:colOff>23963</xdr:colOff>
      <xdr:row>18</xdr:row>
      <xdr:rowOff>84700</xdr:rowOff>
    </xdr:from>
    <xdr:ext cx="832688" cy="887893"/>
    <xdr:sp macro="" textlink="">
      <xdr:nvSpPr>
        <xdr:cNvPr id="12" name="TextBox 11">
          <a:extLst>
            <a:ext uri="{FF2B5EF4-FFF2-40B4-BE49-F238E27FC236}">
              <a16:creationId xmlns:a16="http://schemas.microsoft.com/office/drawing/2014/main" id="{4103519B-4093-4E63-B911-9DC498E9A606}"/>
            </a:ext>
          </a:extLst>
        </xdr:cNvPr>
        <xdr:cNvSpPr txBox="1"/>
      </xdr:nvSpPr>
      <xdr:spPr>
        <a:xfrm rot="10800000">
          <a:off x="1454722" y="3412422"/>
          <a:ext cx="832688" cy="8878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b="1">
            <a:latin typeface="+mn-lt"/>
          </a:endParaRPr>
        </a:p>
      </xdr:txBody>
    </xdr:sp>
    <xdr:clientData/>
  </xdr:oneCellAnchor>
  <xdr:twoCellAnchor>
    <xdr:from>
      <xdr:col>2</xdr:col>
      <xdr:colOff>0</xdr:colOff>
      <xdr:row>4</xdr:row>
      <xdr:rowOff>33421</xdr:rowOff>
    </xdr:from>
    <xdr:to>
      <xdr:col>3</xdr:col>
      <xdr:colOff>345405</xdr:colOff>
      <xdr:row>8</xdr:row>
      <xdr:rowOff>996</xdr:rowOff>
    </xdr:to>
    <xdr:sp macro="" textlink="pivots!A4">
      <xdr:nvSpPr>
        <xdr:cNvPr id="15" name="Rectangle 14">
          <a:extLst>
            <a:ext uri="{FF2B5EF4-FFF2-40B4-BE49-F238E27FC236}">
              <a16:creationId xmlns:a16="http://schemas.microsoft.com/office/drawing/2014/main" id="{0E404B3E-56BC-455A-BCFB-98AF088CBF34}"/>
            </a:ext>
          </a:extLst>
        </xdr:cNvPr>
        <xdr:cNvSpPr/>
      </xdr:nvSpPr>
      <xdr:spPr>
        <a:xfrm>
          <a:off x="200526" y="1320132"/>
          <a:ext cx="955340" cy="702838"/>
        </a:xfrm>
        <a:prstGeom prst="rect">
          <a:avLst/>
        </a:prstGeom>
        <a:effectLst>
          <a:glow rad="63500">
            <a:schemeClr val="accent1">
              <a:satMod val="175000"/>
              <a:alpha val="40000"/>
            </a:schemeClr>
          </a:glow>
          <a:innerShdw blurRad="254000" dist="127000" dir="2820000">
            <a:prstClr val="black">
              <a:alpha val="46000"/>
            </a:prstClr>
          </a:innerShdw>
        </a:effectLst>
        <a:scene3d>
          <a:camera prst="orthographicFront"/>
          <a:lightRig rig="threePt" dir="t">
            <a:rot lat="0" lon="0" rev="0"/>
          </a:lightRig>
        </a:scene3d>
        <a:sp3d prstMaterial="matte">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95E7AB0-43C4-4165-8143-8DD7A2FB620E}" type="TxLink">
            <a:rPr lang="en-US" sz="1800" b="1" i="0" u="none" strike="noStrike">
              <a:solidFill>
                <a:schemeClr val="tx1"/>
              </a:solidFill>
              <a:latin typeface="+mj-lt"/>
            </a:rPr>
            <a:pPr algn="ctr"/>
            <a:t>1,000</a:t>
          </a:fld>
          <a:endParaRPr lang="en-US" sz="1800" b="1">
            <a:solidFill>
              <a:schemeClr val="tx1"/>
            </a:solidFill>
            <a:latin typeface="+mj-lt"/>
          </a:endParaRPr>
        </a:p>
      </xdr:txBody>
    </xdr:sp>
    <xdr:clientData/>
  </xdr:twoCellAnchor>
  <xdr:oneCellAnchor>
    <xdr:from>
      <xdr:col>2</xdr:col>
      <xdr:colOff>7887</xdr:colOff>
      <xdr:row>4</xdr:row>
      <xdr:rowOff>37565</xdr:rowOff>
    </xdr:from>
    <xdr:ext cx="832688" cy="185708"/>
    <xdr:sp macro="" textlink="">
      <xdr:nvSpPr>
        <xdr:cNvPr id="16" name="TextBox 15">
          <a:extLst>
            <a:ext uri="{FF2B5EF4-FFF2-40B4-BE49-F238E27FC236}">
              <a16:creationId xmlns:a16="http://schemas.microsoft.com/office/drawing/2014/main" id="{0E5C7886-E532-4FA3-9698-E3147B4B438B}"/>
            </a:ext>
          </a:extLst>
        </xdr:cNvPr>
        <xdr:cNvSpPr txBox="1"/>
      </xdr:nvSpPr>
      <xdr:spPr>
        <a:xfrm rot="10800000" flipV="1">
          <a:off x="208413" y="1324276"/>
          <a:ext cx="832688" cy="185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a:t>
          </a:r>
          <a:r>
            <a:rPr lang="en-IN" sz="1100" b="1">
              <a:latin typeface="+mn-lt"/>
            </a:rPr>
            <a:t>Call</a:t>
          </a:r>
          <a:r>
            <a:rPr lang="en-IN" sz="1100" b="1" baseline="0">
              <a:latin typeface="+mn-lt"/>
            </a:rPr>
            <a:t>s</a:t>
          </a:r>
          <a:endParaRPr lang="en-IN" sz="1100" b="1">
            <a:latin typeface="+mn-lt"/>
          </a:endParaRPr>
        </a:p>
      </xdr:txBody>
    </xdr:sp>
    <xdr:clientData/>
  </xdr:oneCellAnchor>
  <xdr:twoCellAnchor editAs="oneCell">
    <xdr:from>
      <xdr:col>2</xdr:col>
      <xdr:colOff>195613</xdr:colOff>
      <xdr:row>4</xdr:row>
      <xdr:rowOff>97471</xdr:rowOff>
    </xdr:from>
    <xdr:to>
      <xdr:col>2</xdr:col>
      <xdr:colOff>345446</xdr:colOff>
      <xdr:row>5</xdr:row>
      <xdr:rowOff>55538</xdr:rowOff>
    </xdr:to>
    <xdr:pic>
      <xdr:nvPicPr>
        <xdr:cNvPr id="17" name="Graphic 16" descr="Receiver with solid fill">
          <a:extLst>
            <a:ext uri="{FF2B5EF4-FFF2-40B4-BE49-F238E27FC236}">
              <a16:creationId xmlns:a16="http://schemas.microsoft.com/office/drawing/2014/main" id="{3240BC64-2870-493F-8F8C-1B6A174076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96139" y="1384182"/>
          <a:ext cx="149833" cy="141883"/>
        </a:xfrm>
        <a:prstGeom prst="rect">
          <a:avLst/>
        </a:prstGeom>
      </xdr:spPr>
    </xdr:pic>
    <xdr:clientData/>
  </xdr:twoCellAnchor>
  <xdr:oneCellAnchor>
    <xdr:from>
      <xdr:col>2</xdr:col>
      <xdr:colOff>242465</xdr:colOff>
      <xdr:row>6</xdr:row>
      <xdr:rowOff>91481</xdr:rowOff>
    </xdr:from>
    <xdr:ext cx="533160" cy="191697"/>
    <xdr:sp macro="" textlink="pivots!$A$10">
      <xdr:nvSpPr>
        <xdr:cNvPr id="18" name="TextBox 17">
          <a:extLst>
            <a:ext uri="{FF2B5EF4-FFF2-40B4-BE49-F238E27FC236}">
              <a16:creationId xmlns:a16="http://schemas.microsoft.com/office/drawing/2014/main" id="{7B45D584-C16F-42ED-AD1A-B94CCF637664}"/>
            </a:ext>
          </a:extLst>
        </xdr:cNvPr>
        <xdr:cNvSpPr txBox="1"/>
      </xdr:nvSpPr>
      <xdr:spPr>
        <a:xfrm>
          <a:off x="442991" y="1227797"/>
          <a:ext cx="533160" cy="191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AFD5659-E15B-4F0A-85EF-EA2F7718B962}" type="TxLink">
            <a:rPr lang="en-US" sz="1100" b="0" i="0" u="none" strike="noStrike">
              <a:solidFill>
                <a:srgbClr val="000000"/>
              </a:solidFill>
              <a:latin typeface="Aptos Narrow"/>
            </a:rPr>
            <a:pPr/>
            <a:t>1,000</a:t>
          </a:fld>
          <a:endParaRPr lang="en-IN" sz="1100"/>
        </a:p>
      </xdr:txBody>
    </xdr:sp>
    <xdr:clientData/>
  </xdr:oneCellAnchor>
  <xdr:oneCellAnchor>
    <xdr:from>
      <xdr:col>2</xdr:col>
      <xdr:colOff>7887</xdr:colOff>
      <xdr:row>11</xdr:row>
      <xdr:rowOff>37565</xdr:rowOff>
    </xdr:from>
    <xdr:ext cx="832688" cy="185708"/>
    <xdr:sp macro="" textlink="">
      <xdr:nvSpPr>
        <xdr:cNvPr id="20" name="TextBox 19">
          <a:extLst>
            <a:ext uri="{FF2B5EF4-FFF2-40B4-BE49-F238E27FC236}">
              <a16:creationId xmlns:a16="http://schemas.microsoft.com/office/drawing/2014/main" id="{C36F230E-0AAD-4CF1-8B3B-387627D8EF2E}"/>
            </a:ext>
          </a:extLst>
        </xdr:cNvPr>
        <xdr:cNvSpPr txBox="1"/>
      </xdr:nvSpPr>
      <xdr:spPr>
        <a:xfrm rot="21314001" flipV="1">
          <a:off x="208413" y="2610986"/>
          <a:ext cx="832688" cy="185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a:t>
          </a:r>
          <a:endParaRPr lang="en-IN" sz="1100" b="1">
            <a:latin typeface="+mn-lt"/>
          </a:endParaRPr>
        </a:p>
      </xdr:txBody>
    </xdr:sp>
    <xdr:clientData/>
  </xdr:oneCellAnchor>
  <xdr:oneCellAnchor>
    <xdr:from>
      <xdr:col>2</xdr:col>
      <xdr:colOff>7887</xdr:colOff>
      <xdr:row>18</xdr:row>
      <xdr:rowOff>37565</xdr:rowOff>
    </xdr:from>
    <xdr:ext cx="832688" cy="185708"/>
    <xdr:sp macro="" textlink="">
      <xdr:nvSpPr>
        <xdr:cNvPr id="24" name="TextBox 23">
          <a:extLst>
            <a:ext uri="{FF2B5EF4-FFF2-40B4-BE49-F238E27FC236}">
              <a16:creationId xmlns:a16="http://schemas.microsoft.com/office/drawing/2014/main" id="{780E2A29-C1F5-4CD9-B9F2-8C560C6B2B20}"/>
            </a:ext>
          </a:extLst>
        </xdr:cNvPr>
        <xdr:cNvSpPr txBox="1"/>
      </xdr:nvSpPr>
      <xdr:spPr>
        <a:xfrm rot="10800000" flipV="1">
          <a:off x="208413" y="3897697"/>
          <a:ext cx="832688" cy="185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b="1">
            <a:latin typeface="+mn-lt"/>
          </a:endParaRPr>
        </a:p>
      </xdr:txBody>
    </xdr:sp>
    <xdr:clientData/>
  </xdr:oneCellAnchor>
  <xdr:oneCellAnchor>
    <xdr:from>
      <xdr:col>2</xdr:col>
      <xdr:colOff>7887</xdr:colOff>
      <xdr:row>26</xdr:row>
      <xdr:rowOff>37565</xdr:rowOff>
    </xdr:from>
    <xdr:ext cx="832688" cy="185708"/>
    <xdr:sp macro="" textlink="">
      <xdr:nvSpPr>
        <xdr:cNvPr id="28" name="TextBox 27">
          <a:extLst>
            <a:ext uri="{FF2B5EF4-FFF2-40B4-BE49-F238E27FC236}">
              <a16:creationId xmlns:a16="http://schemas.microsoft.com/office/drawing/2014/main" id="{93C62289-98A7-4A04-BE78-3B4BF2E0BF29}"/>
            </a:ext>
          </a:extLst>
        </xdr:cNvPr>
        <xdr:cNvSpPr txBox="1"/>
      </xdr:nvSpPr>
      <xdr:spPr>
        <a:xfrm rot="10800000" flipV="1">
          <a:off x="208413" y="5368223"/>
          <a:ext cx="832688" cy="185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b="1">
            <a:latin typeface="+mn-lt"/>
          </a:endParaRPr>
        </a:p>
      </xdr:txBody>
    </xdr:sp>
    <xdr:clientData/>
  </xdr:oneCellAnchor>
  <xdr:twoCellAnchor>
    <xdr:from>
      <xdr:col>1</xdr:col>
      <xdr:colOff>89728</xdr:colOff>
      <xdr:row>10</xdr:row>
      <xdr:rowOff>6902</xdr:rowOff>
    </xdr:from>
    <xdr:to>
      <xdr:col>3</xdr:col>
      <xdr:colOff>331601</xdr:colOff>
      <xdr:row>13</xdr:row>
      <xdr:rowOff>158292</xdr:rowOff>
    </xdr:to>
    <xdr:sp macro="" textlink="pivots!B4">
      <xdr:nvSpPr>
        <xdr:cNvPr id="31" name="Rectangle 30">
          <a:extLst>
            <a:ext uri="{FF2B5EF4-FFF2-40B4-BE49-F238E27FC236}">
              <a16:creationId xmlns:a16="http://schemas.microsoft.com/office/drawing/2014/main" id="{7717C20C-4C56-43DB-96D1-DFD3292C77A7}"/>
            </a:ext>
          </a:extLst>
        </xdr:cNvPr>
        <xdr:cNvSpPr/>
      </xdr:nvSpPr>
      <xdr:spPr>
        <a:xfrm>
          <a:off x="193261" y="1870489"/>
          <a:ext cx="952797" cy="710466"/>
        </a:xfrm>
        <a:prstGeom prst="rect">
          <a:avLst/>
        </a:prstGeom>
        <a:effectLst>
          <a:glow rad="63500">
            <a:schemeClr val="accent1">
              <a:satMod val="175000"/>
              <a:alpha val="40000"/>
            </a:schemeClr>
          </a:glow>
          <a:innerShdw blurRad="254000" dist="127000" dir="2820000">
            <a:prstClr val="black">
              <a:alpha val="46000"/>
            </a:prstClr>
          </a:innerShdw>
        </a:effectLst>
        <a:scene3d>
          <a:camera prst="orthographicFront"/>
          <a:lightRig rig="threePt" dir="t">
            <a:rot lat="0" lon="0" rev="0"/>
          </a:lightRig>
        </a:scene3d>
        <a:sp3d prstMaterial="matte">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C5B388E-816D-44C3-97B0-EE941AEDFFA4}" type="TxLink">
            <a:rPr lang="en-US" sz="1600" b="1" i="0" u="none" strike="noStrike">
              <a:solidFill>
                <a:srgbClr val="000000"/>
              </a:solidFill>
              <a:latin typeface="Aptos Narrow"/>
            </a:rPr>
            <a:pPr algn="ctr"/>
            <a:t>$96,623</a:t>
          </a:fld>
          <a:endParaRPr lang="en-US" sz="2000" b="1">
            <a:solidFill>
              <a:schemeClr val="tx1"/>
            </a:solidFill>
            <a:latin typeface="+mj-lt"/>
          </a:endParaRPr>
        </a:p>
      </xdr:txBody>
    </xdr:sp>
    <xdr:clientData/>
  </xdr:twoCellAnchor>
  <xdr:oneCellAnchor>
    <xdr:from>
      <xdr:col>2</xdr:col>
      <xdr:colOff>7887</xdr:colOff>
      <xdr:row>10</xdr:row>
      <xdr:rowOff>34512</xdr:rowOff>
    </xdr:from>
    <xdr:ext cx="832688" cy="200162"/>
    <xdr:sp macro="" textlink="">
      <xdr:nvSpPr>
        <xdr:cNvPr id="32" name="TextBox 31">
          <a:extLst>
            <a:ext uri="{FF2B5EF4-FFF2-40B4-BE49-F238E27FC236}">
              <a16:creationId xmlns:a16="http://schemas.microsoft.com/office/drawing/2014/main" id="{253FEA7D-99D8-40E0-B483-2186E44463F9}"/>
            </a:ext>
          </a:extLst>
        </xdr:cNvPr>
        <xdr:cNvSpPr txBox="1"/>
      </xdr:nvSpPr>
      <xdr:spPr>
        <a:xfrm rot="10800000" flipV="1">
          <a:off x="214952" y="1898099"/>
          <a:ext cx="832688" cy="2001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a:t>
          </a:r>
          <a:r>
            <a:rPr lang="en-IN" sz="1100" b="1"/>
            <a:t>    Amount </a:t>
          </a:r>
          <a:r>
            <a:rPr lang="en-IN" sz="1100" b="1">
              <a:latin typeface="+mj-lt"/>
            </a:rPr>
            <a:t>Amounts</a:t>
          </a:r>
          <a:r>
            <a:rPr lang="en-IN" sz="1100"/>
            <a:t> </a:t>
          </a:r>
          <a:r>
            <a:rPr lang="en-IN" sz="1100" b="1">
              <a:latin typeface="+mj-lt"/>
            </a:rPr>
            <a:t>Amount</a:t>
          </a:r>
        </a:p>
      </xdr:txBody>
    </xdr:sp>
    <xdr:clientData/>
  </xdr:oneCellAnchor>
  <xdr:oneCellAnchor>
    <xdr:from>
      <xdr:col>2</xdr:col>
      <xdr:colOff>182524</xdr:colOff>
      <xdr:row>12</xdr:row>
      <xdr:rowOff>63871</xdr:rowOff>
    </xdr:from>
    <xdr:ext cx="533160" cy="191697"/>
    <xdr:sp macro="" textlink="pivots!B10">
      <xdr:nvSpPr>
        <xdr:cNvPr id="34" name="TextBox 33">
          <a:extLst>
            <a:ext uri="{FF2B5EF4-FFF2-40B4-BE49-F238E27FC236}">
              <a16:creationId xmlns:a16="http://schemas.microsoft.com/office/drawing/2014/main" id="{94BA1A23-F622-4CC0-B768-B6E3918EACF1}"/>
            </a:ext>
          </a:extLst>
        </xdr:cNvPr>
        <xdr:cNvSpPr txBox="1"/>
      </xdr:nvSpPr>
      <xdr:spPr>
        <a:xfrm>
          <a:off x="389589" y="2300175"/>
          <a:ext cx="533160" cy="191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7E52204-E5AE-4DDF-A480-A71B54B29197}" type="TxLink">
            <a:rPr lang="en-US" sz="1100" b="0" i="0" u="none" strike="noStrike">
              <a:solidFill>
                <a:srgbClr val="000000"/>
              </a:solidFill>
              <a:latin typeface="Aptos Narrow"/>
            </a:rPr>
            <a:pPr/>
            <a:t>$96,623</a:t>
          </a:fld>
          <a:endParaRPr lang="en-IN" sz="1100"/>
        </a:p>
      </xdr:txBody>
    </xdr:sp>
    <xdr:clientData/>
  </xdr:oneCellAnchor>
  <xdr:twoCellAnchor>
    <xdr:from>
      <xdr:col>1</xdr:col>
      <xdr:colOff>96630</xdr:colOff>
      <xdr:row>16</xdr:row>
      <xdr:rowOff>34511</xdr:rowOff>
    </xdr:from>
    <xdr:to>
      <xdr:col>3</xdr:col>
      <xdr:colOff>338503</xdr:colOff>
      <xdr:row>19</xdr:row>
      <xdr:rowOff>185902</xdr:rowOff>
    </xdr:to>
    <xdr:sp macro="" textlink="pivots!C4">
      <xdr:nvSpPr>
        <xdr:cNvPr id="35" name="Rectangle 34">
          <a:extLst>
            <a:ext uri="{FF2B5EF4-FFF2-40B4-BE49-F238E27FC236}">
              <a16:creationId xmlns:a16="http://schemas.microsoft.com/office/drawing/2014/main" id="{D904C591-20F1-4A8B-88F1-0CD47D55F5DE}"/>
            </a:ext>
          </a:extLst>
        </xdr:cNvPr>
        <xdr:cNvSpPr/>
      </xdr:nvSpPr>
      <xdr:spPr>
        <a:xfrm>
          <a:off x="200163" y="3016250"/>
          <a:ext cx="952797" cy="710467"/>
        </a:xfrm>
        <a:prstGeom prst="rect">
          <a:avLst/>
        </a:prstGeom>
        <a:effectLst>
          <a:glow rad="63500">
            <a:schemeClr val="accent1">
              <a:satMod val="175000"/>
              <a:alpha val="40000"/>
            </a:schemeClr>
          </a:glow>
          <a:innerShdw blurRad="254000" dist="127000" dir="2820000">
            <a:prstClr val="black">
              <a:alpha val="46000"/>
            </a:prstClr>
          </a:innerShdw>
        </a:effectLst>
        <a:scene3d>
          <a:camera prst="orthographicFront"/>
          <a:lightRig rig="threePt" dir="t">
            <a:rot lat="0" lon="0" rev="0"/>
          </a:lightRig>
        </a:scene3d>
        <a:sp3d prstMaterial="matte">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ACE638-5F37-47C7-AD58-08789A08F94E}" type="TxLink">
            <a:rPr lang="en-US" sz="1600" b="1" i="0" u="none" strike="noStrike">
              <a:solidFill>
                <a:srgbClr val="000000"/>
              </a:solidFill>
              <a:latin typeface="Aptos Narrow"/>
            </a:rPr>
            <a:pPr algn="ctr"/>
            <a:t>89,850</a:t>
          </a:fld>
          <a:endParaRPr lang="en-US" sz="2000" b="1">
            <a:solidFill>
              <a:schemeClr val="tx1"/>
            </a:solidFill>
            <a:latin typeface="+mj-lt"/>
          </a:endParaRPr>
        </a:p>
      </xdr:txBody>
    </xdr:sp>
    <xdr:clientData/>
  </xdr:twoCellAnchor>
  <xdr:oneCellAnchor>
    <xdr:from>
      <xdr:col>0</xdr:col>
      <xdr:colOff>89728</xdr:colOff>
      <xdr:row>16</xdr:row>
      <xdr:rowOff>62121</xdr:rowOff>
    </xdr:from>
    <xdr:ext cx="1083642" cy="234674"/>
    <xdr:sp macro="" textlink="">
      <xdr:nvSpPr>
        <xdr:cNvPr id="36" name="TextBox 35">
          <a:extLst>
            <a:ext uri="{FF2B5EF4-FFF2-40B4-BE49-F238E27FC236}">
              <a16:creationId xmlns:a16="http://schemas.microsoft.com/office/drawing/2014/main" id="{E9C1271A-75C2-4595-92BC-D86EF8AFEF69}"/>
            </a:ext>
          </a:extLst>
        </xdr:cNvPr>
        <xdr:cNvSpPr txBox="1"/>
      </xdr:nvSpPr>
      <xdr:spPr>
        <a:xfrm rot="10800000" flipV="1">
          <a:off x="89728" y="3043860"/>
          <a:ext cx="1083642" cy="234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a:t>
          </a:r>
          <a:r>
            <a:rPr lang="en-IN" sz="1200" b="1">
              <a:latin typeface="+mn-lt"/>
            </a:rPr>
            <a:t>Duration</a:t>
          </a:r>
        </a:p>
        <a:p>
          <a:endParaRPr lang="en-IN" sz="1100" b="1">
            <a:latin typeface="+mn-lt"/>
          </a:endParaRPr>
        </a:p>
      </xdr:txBody>
    </xdr:sp>
    <xdr:clientData/>
  </xdr:oneCellAnchor>
  <xdr:oneCellAnchor>
    <xdr:from>
      <xdr:col>2</xdr:col>
      <xdr:colOff>175623</xdr:colOff>
      <xdr:row>18</xdr:row>
      <xdr:rowOff>91480</xdr:rowOff>
    </xdr:from>
    <xdr:ext cx="533160" cy="191697"/>
    <xdr:sp macro="" textlink="pivots!C10">
      <xdr:nvSpPr>
        <xdr:cNvPr id="38" name="TextBox 37">
          <a:extLst>
            <a:ext uri="{FF2B5EF4-FFF2-40B4-BE49-F238E27FC236}">
              <a16:creationId xmlns:a16="http://schemas.microsoft.com/office/drawing/2014/main" id="{FCB7FE2F-8125-4A29-AFFB-4AFBC51686C7}"/>
            </a:ext>
          </a:extLst>
        </xdr:cNvPr>
        <xdr:cNvSpPr txBox="1"/>
      </xdr:nvSpPr>
      <xdr:spPr>
        <a:xfrm>
          <a:off x="376149" y="3951612"/>
          <a:ext cx="533160" cy="191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4627291-0636-4EAA-B3AA-95D960348A7B}" type="TxLink">
            <a:rPr lang="en-US" sz="1100" b="0" i="0" u="none" strike="noStrike">
              <a:solidFill>
                <a:srgbClr val="000000"/>
              </a:solidFill>
              <a:latin typeface="Aptos Narrow"/>
            </a:rPr>
            <a:pPr/>
            <a:t>89,850</a:t>
          </a:fld>
          <a:endParaRPr lang="en-IN" sz="1100"/>
        </a:p>
      </xdr:txBody>
    </xdr:sp>
    <xdr:clientData/>
  </xdr:oneCellAnchor>
  <xdr:twoCellAnchor>
    <xdr:from>
      <xdr:col>1</xdr:col>
      <xdr:colOff>96629</xdr:colOff>
      <xdr:row>21</xdr:row>
      <xdr:rowOff>158749</xdr:rowOff>
    </xdr:from>
    <xdr:to>
      <xdr:col>3</xdr:col>
      <xdr:colOff>338204</xdr:colOff>
      <xdr:row>25</xdr:row>
      <xdr:rowOff>158751</xdr:rowOff>
    </xdr:to>
    <xdr:sp macro="" textlink="pivots!D4">
      <xdr:nvSpPr>
        <xdr:cNvPr id="39" name="Rectangle 38">
          <a:extLst>
            <a:ext uri="{FF2B5EF4-FFF2-40B4-BE49-F238E27FC236}">
              <a16:creationId xmlns:a16="http://schemas.microsoft.com/office/drawing/2014/main" id="{FB25F4A2-5905-4D49-BEA9-C5A8D28C7FAD}"/>
            </a:ext>
          </a:extLst>
        </xdr:cNvPr>
        <xdr:cNvSpPr/>
      </xdr:nvSpPr>
      <xdr:spPr>
        <a:xfrm>
          <a:off x="200162" y="4072282"/>
          <a:ext cx="952499" cy="745436"/>
        </a:xfrm>
        <a:prstGeom prst="rect">
          <a:avLst/>
        </a:prstGeom>
        <a:effectLst>
          <a:glow rad="63500">
            <a:schemeClr val="accent1">
              <a:satMod val="175000"/>
              <a:alpha val="40000"/>
            </a:schemeClr>
          </a:glow>
          <a:innerShdw blurRad="254000" dist="127000" dir="2820000">
            <a:prstClr val="black">
              <a:alpha val="46000"/>
            </a:prstClr>
          </a:innerShdw>
        </a:effectLst>
        <a:scene3d>
          <a:camera prst="orthographicFront"/>
          <a:lightRig rig="threePt" dir="t">
            <a:rot lat="0" lon="0" rev="0"/>
          </a:lightRig>
        </a:scene3d>
        <a:sp3d prstMaterial="matte">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E1AF3FB-8A43-423B-8010-64C5ED723112}" type="TxLink">
            <a:rPr lang="en-US" sz="1800" b="1" i="0" u="none" strike="noStrike">
              <a:solidFill>
                <a:srgbClr val="000000"/>
              </a:solidFill>
              <a:latin typeface="Aptos Narrow"/>
            </a:rPr>
            <a:pPr algn="ctr"/>
            <a:t>3.9</a:t>
          </a:fld>
          <a:endParaRPr lang="en-US" sz="2400" b="1">
            <a:solidFill>
              <a:schemeClr val="tx1"/>
            </a:solidFill>
            <a:latin typeface="+mj-lt"/>
          </a:endParaRPr>
        </a:p>
      </xdr:txBody>
    </xdr:sp>
    <xdr:clientData/>
  </xdr:twoCellAnchor>
  <xdr:oneCellAnchor>
    <xdr:from>
      <xdr:col>2</xdr:col>
      <xdr:colOff>251547</xdr:colOff>
      <xdr:row>24</xdr:row>
      <xdr:rowOff>77676</xdr:rowOff>
    </xdr:from>
    <xdr:ext cx="533160" cy="191697"/>
    <xdr:sp macro="" textlink="pivots!D10">
      <xdr:nvSpPr>
        <xdr:cNvPr id="42" name="TextBox 41">
          <a:extLst>
            <a:ext uri="{FF2B5EF4-FFF2-40B4-BE49-F238E27FC236}">
              <a16:creationId xmlns:a16="http://schemas.microsoft.com/office/drawing/2014/main" id="{71F670AA-11A0-4C40-A28C-2BCAECA00D3A}"/>
            </a:ext>
          </a:extLst>
        </xdr:cNvPr>
        <xdr:cNvSpPr txBox="1"/>
      </xdr:nvSpPr>
      <xdr:spPr>
        <a:xfrm>
          <a:off x="458612" y="4550285"/>
          <a:ext cx="533160" cy="191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BF9BCAF-7427-4F61-8008-D79F482D6C3B}" type="TxLink">
            <a:rPr lang="en-US" sz="1100" b="0" i="0" u="none" strike="noStrike">
              <a:solidFill>
                <a:srgbClr val="000000"/>
              </a:solidFill>
              <a:latin typeface="Aptos Narrow"/>
            </a:rPr>
            <a:pPr/>
            <a:t>3.9</a:t>
          </a:fld>
          <a:endParaRPr lang="en-IN" sz="1100"/>
        </a:p>
      </xdr:txBody>
    </xdr:sp>
    <xdr:clientData/>
  </xdr:oneCellAnchor>
  <xdr:twoCellAnchor>
    <xdr:from>
      <xdr:col>2</xdr:col>
      <xdr:colOff>0</xdr:colOff>
      <xdr:row>28</xdr:row>
      <xdr:rowOff>0</xdr:rowOff>
    </xdr:from>
    <xdr:to>
      <xdr:col>3</xdr:col>
      <xdr:colOff>345405</xdr:colOff>
      <xdr:row>31</xdr:row>
      <xdr:rowOff>151390</xdr:rowOff>
    </xdr:to>
    <xdr:sp macro="" textlink="pivots!E4">
      <xdr:nvSpPr>
        <xdr:cNvPr id="43" name="Rectangle 42">
          <a:extLst>
            <a:ext uri="{FF2B5EF4-FFF2-40B4-BE49-F238E27FC236}">
              <a16:creationId xmlns:a16="http://schemas.microsoft.com/office/drawing/2014/main" id="{5F5DDD7F-CF9B-4D64-86D1-2B45C614467C}"/>
            </a:ext>
          </a:extLst>
        </xdr:cNvPr>
        <xdr:cNvSpPr/>
      </xdr:nvSpPr>
      <xdr:spPr>
        <a:xfrm>
          <a:off x="200526" y="5698289"/>
          <a:ext cx="955340" cy="702838"/>
        </a:xfrm>
        <a:prstGeom prst="rect">
          <a:avLst/>
        </a:prstGeom>
        <a:effectLst>
          <a:glow rad="63500">
            <a:schemeClr val="accent1">
              <a:satMod val="175000"/>
              <a:alpha val="40000"/>
            </a:schemeClr>
          </a:glow>
          <a:innerShdw blurRad="254000" dist="127000" dir="2820000">
            <a:prstClr val="black">
              <a:alpha val="46000"/>
            </a:prstClr>
          </a:innerShdw>
        </a:effectLst>
        <a:scene3d>
          <a:camera prst="orthographicFront"/>
          <a:lightRig rig="threePt" dir="t">
            <a:rot lat="0" lon="0" rev="0"/>
          </a:lightRig>
        </a:scene3d>
        <a:sp3d prstMaterial="matte">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A41CC59-3580-4652-B8B4-9C88DF4328E3}" type="TxLink">
            <a:rPr lang="en-US" sz="1800" b="1" i="0" u="none" strike="noStrike">
              <a:solidFill>
                <a:srgbClr val="000000"/>
              </a:solidFill>
              <a:latin typeface="Aptos Narrow"/>
            </a:rPr>
            <a:pPr algn="ctr"/>
            <a:t>307</a:t>
          </a:fld>
          <a:endParaRPr lang="en-US" sz="2400" b="1">
            <a:solidFill>
              <a:schemeClr val="tx1"/>
            </a:solidFill>
            <a:latin typeface="+mj-lt"/>
          </a:endParaRPr>
        </a:p>
      </xdr:txBody>
    </xdr:sp>
    <xdr:clientData/>
  </xdr:twoCellAnchor>
  <xdr:oneCellAnchor>
    <xdr:from>
      <xdr:col>0</xdr:col>
      <xdr:colOff>55210</xdr:colOff>
      <xdr:row>27</xdr:row>
      <xdr:rowOff>165652</xdr:rowOff>
    </xdr:from>
    <xdr:ext cx="1318317" cy="220869"/>
    <xdr:sp macro="" textlink="">
      <xdr:nvSpPr>
        <xdr:cNvPr id="44" name="TextBox 43">
          <a:extLst>
            <a:ext uri="{FF2B5EF4-FFF2-40B4-BE49-F238E27FC236}">
              <a16:creationId xmlns:a16="http://schemas.microsoft.com/office/drawing/2014/main" id="{A2A0437D-7726-45A8-AB6A-529C87CF4E70}"/>
            </a:ext>
          </a:extLst>
        </xdr:cNvPr>
        <xdr:cNvSpPr txBox="1"/>
      </xdr:nvSpPr>
      <xdr:spPr>
        <a:xfrm rot="10800000" flipV="1">
          <a:off x="55210" y="5197337"/>
          <a:ext cx="1318317" cy="2208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a:t>
          </a:r>
          <a:r>
            <a:rPr lang="en-IN" sz="1000" b="1">
              <a:latin typeface="+mn-lt"/>
            </a:rPr>
            <a:t>Happy </a:t>
          </a:r>
          <a:r>
            <a:rPr lang="en-IN" sz="1000" b="1" baseline="0">
              <a:latin typeface="+mn-lt"/>
            </a:rPr>
            <a:t>Callers </a:t>
          </a:r>
          <a:endParaRPr lang="en-IN" sz="1100" b="1">
            <a:latin typeface="+mn-lt"/>
          </a:endParaRPr>
        </a:p>
      </xdr:txBody>
    </xdr:sp>
    <xdr:clientData/>
  </xdr:oneCellAnchor>
  <xdr:oneCellAnchor>
    <xdr:from>
      <xdr:col>2</xdr:col>
      <xdr:colOff>175623</xdr:colOff>
      <xdr:row>30</xdr:row>
      <xdr:rowOff>91480</xdr:rowOff>
    </xdr:from>
    <xdr:ext cx="533160" cy="191697"/>
    <xdr:sp macro="" textlink="">
      <xdr:nvSpPr>
        <xdr:cNvPr id="46" name="TextBox 45">
          <a:extLst>
            <a:ext uri="{FF2B5EF4-FFF2-40B4-BE49-F238E27FC236}">
              <a16:creationId xmlns:a16="http://schemas.microsoft.com/office/drawing/2014/main" id="{AB8BE70E-D75E-4D9C-83DB-5059098D43B9}"/>
            </a:ext>
          </a:extLst>
        </xdr:cNvPr>
        <xdr:cNvSpPr txBox="1"/>
      </xdr:nvSpPr>
      <xdr:spPr>
        <a:xfrm>
          <a:off x="376149" y="6157401"/>
          <a:ext cx="533160" cy="191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    62</a:t>
          </a:r>
        </a:p>
      </xdr:txBody>
    </xdr:sp>
    <xdr:clientData/>
  </xdr:oneCellAnchor>
  <xdr:twoCellAnchor editAs="oneCell">
    <xdr:from>
      <xdr:col>2</xdr:col>
      <xdr:colOff>96630</xdr:colOff>
      <xdr:row>10</xdr:row>
      <xdr:rowOff>100096</xdr:rowOff>
    </xdr:from>
    <xdr:to>
      <xdr:col>2</xdr:col>
      <xdr:colOff>247245</xdr:colOff>
      <xdr:row>11</xdr:row>
      <xdr:rowOff>55216</xdr:rowOff>
    </xdr:to>
    <xdr:pic>
      <xdr:nvPicPr>
        <xdr:cNvPr id="47" name="Graphic 46" descr="Shopping cart with solid fill">
          <a:extLst>
            <a:ext uri="{FF2B5EF4-FFF2-40B4-BE49-F238E27FC236}">
              <a16:creationId xmlns:a16="http://schemas.microsoft.com/office/drawing/2014/main" id="{EFAEFB62-639D-4C4E-8AB4-66AA450EA5F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3695" y="1963683"/>
          <a:ext cx="150615" cy="141479"/>
        </a:xfrm>
        <a:prstGeom prst="rect">
          <a:avLst/>
        </a:prstGeom>
      </xdr:spPr>
    </xdr:pic>
    <xdr:clientData/>
  </xdr:twoCellAnchor>
  <xdr:twoCellAnchor editAs="oneCell">
    <xdr:from>
      <xdr:col>2</xdr:col>
      <xdr:colOff>69022</xdr:colOff>
      <xdr:row>16</xdr:row>
      <xdr:rowOff>96632</xdr:rowOff>
    </xdr:from>
    <xdr:to>
      <xdr:col>2</xdr:col>
      <xdr:colOff>231047</xdr:colOff>
      <xdr:row>17</xdr:row>
      <xdr:rowOff>69023</xdr:rowOff>
    </xdr:to>
    <xdr:pic>
      <xdr:nvPicPr>
        <xdr:cNvPr id="48" name="Graphic 47" descr="Hourglass Finished with solid fill">
          <a:extLst>
            <a:ext uri="{FF2B5EF4-FFF2-40B4-BE49-F238E27FC236}">
              <a16:creationId xmlns:a16="http://schemas.microsoft.com/office/drawing/2014/main" id="{B82575F3-F78A-4E05-BFA0-FE26ED4C9C7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2247003">
          <a:off x="276087" y="3078371"/>
          <a:ext cx="162025" cy="158749"/>
        </a:xfrm>
        <a:prstGeom prst="rect">
          <a:avLst/>
        </a:prstGeom>
      </xdr:spPr>
    </xdr:pic>
    <xdr:clientData/>
  </xdr:twoCellAnchor>
  <xdr:twoCellAnchor editAs="oneCell">
    <xdr:from>
      <xdr:col>2</xdr:col>
      <xdr:colOff>262276</xdr:colOff>
      <xdr:row>21</xdr:row>
      <xdr:rowOff>151849</xdr:rowOff>
    </xdr:from>
    <xdr:to>
      <xdr:col>2</xdr:col>
      <xdr:colOff>568277</xdr:colOff>
      <xdr:row>22</xdr:row>
      <xdr:rowOff>96633</xdr:rowOff>
    </xdr:to>
    <xdr:pic>
      <xdr:nvPicPr>
        <xdr:cNvPr id="50" name="Graphic 49" descr="Rating Star with solid fill">
          <a:extLst>
            <a:ext uri="{FF2B5EF4-FFF2-40B4-BE49-F238E27FC236}">
              <a16:creationId xmlns:a16="http://schemas.microsoft.com/office/drawing/2014/main" id="{8756AAFB-B982-428A-A5F5-08FC465799B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469341" y="4065382"/>
          <a:ext cx="306001" cy="131142"/>
        </a:xfrm>
        <a:prstGeom prst="rect">
          <a:avLst/>
        </a:prstGeom>
      </xdr:spPr>
    </xdr:pic>
    <xdr:clientData/>
  </xdr:twoCellAnchor>
  <xdr:oneCellAnchor>
    <xdr:from>
      <xdr:col>2</xdr:col>
      <xdr:colOff>27609</xdr:colOff>
      <xdr:row>22</xdr:row>
      <xdr:rowOff>6902</xdr:rowOff>
    </xdr:from>
    <xdr:ext cx="1042229" cy="227773"/>
    <xdr:sp macro="" textlink="">
      <xdr:nvSpPr>
        <xdr:cNvPr id="51" name="TextBox 50">
          <a:extLst>
            <a:ext uri="{FF2B5EF4-FFF2-40B4-BE49-F238E27FC236}">
              <a16:creationId xmlns:a16="http://schemas.microsoft.com/office/drawing/2014/main" id="{70AEE778-0607-EC14-F0A4-D29977B5370B}"/>
            </a:ext>
          </a:extLst>
        </xdr:cNvPr>
        <xdr:cNvSpPr txBox="1"/>
      </xdr:nvSpPr>
      <xdr:spPr>
        <a:xfrm>
          <a:off x="234674" y="4106793"/>
          <a:ext cx="1042229" cy="2277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t>Avg.Rating</a:t>
          </a:r>
        </a:p>
      </xdr:txBody>
    </xdr:sp>
    <xdr:clientData/>
  </xdr:oneCellAnchor>
  <xdr:twoCellAnchor editAs="oneCell">
    <xdr:from>
      <xdr:col>2</xdr:col>
      <xdr:colOff>20698</xdr:colOff>
      <xdr:row>28</xdr:row>
      <xdr:rowOff>55219</xdr:rowOff>
    </xdr:from>
    <xdr:to>
      <xdr:col>2</xdr:col>
      <xdr:colOff>157365</xdr:colOff>
      <xdr:row>29</xdr:row>
      <xdr:rowOff>0</xdr:rowOff>
    </xdr:to>
    <xdr:pic>
      <xdr:nvPicPr>
        <xdr:cNvPr id="52" name="Graphic 51" descr="Star-struck face outline with solid fill">
          <a:extLst>
            <a:ext uri="{FF2B5EF4-FFF2-40B4-BE49-F238E27FC236}">
              <a16:creationId xmlns:a16="http://schemas.microsoft.com/office/drawing/2014/main" id="{826FCC30-37E5-4CE1-A834-04A195C2217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27763" y="5273262"/>
          <a:ext cx="136667" cy="131140"/>
        </a:xfrm>
        <a:prstGeom prst="rect">
          <a:avLst/>
        </a:prstGeom>
      </xdr:spPr>
    </xdr:pic>
    <xdr:clientData/>
  </xdr:twoCellAnchor>
  <xdr:twoCellAnchor>
    <xdr:from>
      <xdr:col>12</xdr:col>
      <xdr:colOff>187003</xdr:colOff>
      <xdr:row>5</xdr:row>
      <xdr:rowOff>91153</xdr:rowOff>
    </xdr:from>
    <xdr:to>
      <xdr:col>15</xdr:col>
      <xdr:colOff>131912</xdr:colOff>
      <xdr:row>16</xdr:row>
      <xdr:rowOff>13922</xdr:rowOff>
    </xdr:to>
    <xdr:graphicFrame macro="">
      <xdr:nvGraphicFramePr>
        <xdr:cNvPr id="4" name="Chart 3">
          <a:extLst>
            <a:ext uri="{FF2B5EF4-FFF2-40B4-BE49-F238E27FC236}">
              <a16:creationId xmlns:a16="http://schemas.microsoft.com/office/drawing/2014/main" id="{B9EC8C45-94BC-401F-85FA-6FAAE57AA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12</xdr:col>
      <xdr:colOff>564892</xdr:colOff>
      <xdr:row>20</xdr:row>
      <xdr:rowOff>96060</xdr:rowOff>
    </xdr:from>
    <xdr:ext cx="1520506" cy="1960474"/>
    <mc:AlternateContent xmlns:mc="http://schemas.openxmlformats.org/markup-compatibility/2006">
      <mc:Choice xmlns:a14="http://schemas.microsoft.com/office/drawing/2010/main" Requires="a14">
        <xdr:graphicFrame macro="">
          <xdr:nvGraphicFramePr>
            <xdr:cNvPr id="5" name="Representative 1">
              <a:extLst>
                <a:ext uri="{FF2B5EF4-FFF2-40B4-BE49-F238E27FC236}">
                  <a16:creationId xmlns:a16="http://schemas.microsoft.com/office/drawing/2014/main" id="{5CD8E867-07A0-4BBC-ACEA-83CEF8F42024}"/>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6837922" y="3800227"/>
              <a:ext cx="1520506" cy="19604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4</xdr:col>
      <xdr:colOff>137298</xdr:colOff>
      <xdr:row>4</xdr:row>
      <xdr:rowOff>17162</xdr:rowOff>
    </xdr:from>
    <xdr:to>
      <xdr:col>12</xdr:col>
      <xdr:colOff>231689</xdr:colOff>
      <xdr:row>17</xdr:row>
      <xdr:rowOff>111554</xdr:rowOff>
    </xdr:to>
    <xdr:graphicFrame macro="">
      <xdr:nvGraphicFramePr>
        <xdr:cNvPr id="3" name="Chart 2">
          <a:extLst>
            <a:ext uri="{FF2B5EF4-FFF2-40B4-BE49-F238E27FC236}">
              <a16:creationId xmlns:a16="http://schemas.microsoft.com/office/drawing/2014/main" id="{43809E75-29D6-4D86-9AA2-2917A3010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103949</xdr:colOff>
      <xdr:row>19</xdr:row>
      <xdr:rowOff>91660</xdr:rowOff>
    </xdr:from>
    <xdr:to>
      <xdr:col>12</xdr:col>
      <xdr:colOff>524421</xdr:colOff>
      <xdr:row>32</xdr:row>
      <xdr:rowOff>87702</xdr:rowOff>
    </xdr:to>
    <xdr:sp macro="" textlink="">
      <xdr:nvSpPr>
        <xdr:cNvPr id="8" name="Rectangle 7">
          <a:extLst>
            <a:ext uri="{FF2B5EF4-FFF2-40B4-BE49-F238E27FC236}">
              <a16:creationId xmlns:a16="http://schemas.microsoft.com/office/drawing/2014/main" id="{366C4214-5587-3785-6C83-B4A03EACD349}"/>
            </a:ext>
          </a:extLst>
        </xdr:cNvPr>
        <xdr:cNvSpPr/>
      </xdr:nvSpPr>
      <xdr:spPr>
        <a:xfrm>
          <a:off x="1518267" y="3656319"/>
          <a:ext cx="5269563" cy="2435019"/>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368987</xdr:colOff>
      <xdr:row>18</xdr:row>
      <xdr:rowOff>42906</xdr:rowOff>
    </xdr:from>
    <xdr:to>
      <xdr:col>12</xdr:col>
      <xdr:colOff>566351</xdr:colOff>
      <xdr:row>39</xdr:row>
      <xdr:rowOff>8819</xdr:rowOff>
    </xdr:to>
    <xdr:graphicFrame macro="">
      <xdr:nvGraphicFramePr>
        <xdr:cNvPr id="7" name="Chart 6">
          <a:extLst>
            <a:ext uri="{FF2B5EF4-FFF2-40B4-BE49-F238E27FC236}">
              <a16:creationId xmlns:a16="http://schemas.microsoft.com/office/drawing/2014/main" id="{330B1C44-923E-4F7D-B7D5-F3A79930F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137298</xdr:colOff>
      <xdr:row>18</xdr:row>
      <xdr:rowOff>60066</xdr:rowOff>
    </xdr:from>
    <xdr:to>
      <xdr:col>8</xdr:col>
      <xdr:colOff>437637</xdr:colOff>
      <xdr:row>39</xdr:row>
      <xdr:rowOff>0</xdr:rowOff>
    </xdr:to>
    <xdr:graphicFrame macro="">
      <xdr:nvGraphicFramePr>
        <xdr:cNvPr id="6" name="Chart 5">
          <a:extLst>
            <a:ext uri="{FF2B5EF4-FFF2-40B4-BE49-F238E27FC236}">
              <a16:creationId xmlns:a16="http://schemas.microsoft.com/office/drawing/2014/main" id="{1C38EE70-21C5-4091-A1D5-5EE619573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244774</xdr:colOff>
      <xdr:row>4</xdr:row>
      <xdr:rowOff>23340</xdr:rowOff>
    </xdr:from>
    <xdr:to>
      <xdr:col>19</xdr:col>
      <xdr:colOff>435275</xdr:colOff>
      <xdr:row>17</xdr:row>
      <xdr:rowOff>138841</xdr:rowOff>
    </xdr:to>
    <xdr:graphicFrame macro="">
      <xdr:nvGraphicFramePr>
        <xdr:cNvPr id="9" name="Chart 8">
          <a:extLst>
            <a:ext uri="{FF2B5EF4-FFF2-40B4-BE49-F238E27FC236}">
              <a16:creationId xmlns:a16="http://schemas.microsoft.com/office/drawing/2014/main" id="{76AC5A5A-0EA5-491F-99D9-D7215117F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463835</xdr:colOff>
      <xdr:row>4</xdr:row>
      <xdr:rowOff>39535</xdr:rowOff>
    </xdr:from>
    <xdr:to>
      <xdr:col>23</xdr:col>
      <xdr:colOff>155754</xdr:colOff>
      <xdr:row>17</xdr:row>
      <xdr:rowOff>128498</xdr:rowOff>
    </xdr:to>
    <xdr:graphicFrame macro="">
      <xdr:nvGraphicFramePr>
        <xdr:cNvPr id="10" name="Chart 9">
          <a:extLst>
            <a:ext uri="{FF2B5EF4-FFF2-40B4-BE49-F238E27FC236}">
              <a16:creationId xmlns:a16="http://schemas.microsoft.com/office/drawing/2014/main" id="{6FD3CFDB-F311-41AF-B0AB-4ACF6A4FB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5</xdr:col>
      <xdr:colOff>266700</xdr:colOff>
      <xdr:row>7</xdr:row>
      <xdr:rowOff>152400</xdr:rowOff>
    </xdr:from>
    <xdr:ext cx="1225550" cy="1701800"/>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39740C35-A28F-84AF-04DA-FFA18F729118}"/>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3822700" y="1441450"/>
              <a:ext cx="1225550" cy="1701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12</xdr:col>
      <xdr:colOff>603249</xdr:colOff>
      <xdr:row>34</xdr:row>
      <xdr:rowOff>44450</xdr:rowOff>
    </xdr:from>
    <xdr:to>
      <xdr:col>16</xdr:col>
      <xdr:colOff>34924</xdr:colOff>
      <xdr:row>46</xdr:row>
      <xdr:rowOff>139700</xdr:rowOff>
    </xdr:to>
    <xdr:graphicFrame macro="">
      <xdr:nvGraphicFramePr>
        <xdr:cNvPr id="7" name="Chart 6">
          <a:extLst>
            <a:ext uri="{FF2B5EF4-FFF2-40B4-BE49-F238E27FC236}">
              <a16:creationId xmlns:a16="http://schemas.microsoft.com/office/drawing/2014/main" id="{170546A3-28BB-47FC-68F2-F43848CC8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63500</xdr:colOff>
      <xdr:row>34</xdr:row>
      <xdr:rowOff>44450</xdr:rowOff>
    </xdr:from>
    <xdr:to>
      <xdr:col>19</xdr:col>
      <xdr:colOff>127000</xdr:colOff>
      <xdr:row>46</xdr:row>
      <xdr:rowOff>146050</xdr:rowOff>
    </xdr:to>
    <xdr:graphicFrame macro="">
      <xdr:nvGraphicFramePr>
        <xdr:cNvPr id="8" name="Chart 7">
          <a:extLst>
            <a:ext uri="{FF2B5EF4-FFF2-40B4-BE49-F238E27FC236}">
              <a16:creationId xmlns:a16="http://schemas.microsoft.com/office/drawing/2014/main" id="{CD7BAC5B-C214-F72A-4EC2-9DB91355D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446425</xdr:colOff>
      <xdr:row>52</xdr:row>
      <xdr:rowOff>134119</xdr:rowOff>
    </xdr:from>
    <xdr:to>
      <xdr:col>8</xdr:col>
      <xdr:colOff>736985</xdr:colOff>
      <xdr:row>67</xdr:row>
      <xdr:rowOff>135274</xdr:rowOff>
    </xdr:to>
    <xdr:graphicFrame macro="">
      <xdr:nvGraphicFramePr>
        <xdr:cNvPr id="9" name="Chart 8">
          <a:extLst>
            <a:ext uri="{FF2B5EF4-FFF2-40B4-BE49-F238E27FC236}">
              <a16:creationId xmlns:a16="http://schemas.microsoft.com/office/drawing/2014/main" id="{289AE1E5-8960-C3BF-63C5-441CDF842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336550</xdr:colOff>
      <xdr:row>69</xdr:row>
      <xdr:rowOff>82550</xdr:rowOff>
    </xdr:from>
    <xdr:to>
      <xdr:col>8</xdr:col>
      <xdr:colOff>797128</xdr:colOff>
      <xdr:row>84</xdr:row>
      <xdr:rowOff>63500</xdr:rowOff>
    </xdr:to>
    <xdr:graphicFrame macro="">
      <xdr:nvGraphicFramePr>
        <xdr:cNvPr id="10" name="Chart 9">
          <a:extLst>
            <a:ext uri="{FF2B5EF4-FFF2-40B4-BE49-F238E27FC236}">
              <a16:creationId xmlns:a16="http://schemas.microsoft.com/office/drawing/2014/main" id="{19FA2266-EF97-C54C-1D5A-D3A11FE5F6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452782</xdr:colOff>
      <xdr:row>7</xdr:row>
      <xdr:rowOff>20795</xdr:rowOff>
    </xdr:from>
    <xdr:to>
      <xdr:col>1</xdr:col>
      <xdr:colOff>65405</xdr:colOff>
      <xdr:row>8</xdr:row>
      <xdr:rowOff>49695</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2782" y="2014143"/>
          <a:ext cx="220014" cy="211117"/>
        </a:xfrm>
        <a:prstGeom prst="rect">
          <a:avLst/>
        </a:prstGeom>
      </xdr:spPr>
    </xdr:pic>
    <xdr:clientData/>
  </xdr:twoCellAnchor>
  <xdr:twoCellAnchor editAs="oneCell">
    <xdr:from>
      <xdr:col>1</xdr:col>
      <xdr:colOff>2</xdr:colOff>
      <xdr:row>1</xdr:row>
      <xdr:rowOff>78525</xdr:rowOff>
    </xdr:from>
    <xdr:to>
      <xdr:col>1</xdr:col>
      <xdr:colOff>110436</xdr:colOff>
      <xdr:row>2</xdr:row>
      <xdr:rowOff>4508</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07393" y="260742"/>
          <a:ext cx="110434" cy="108201"/>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66261</xdr:colOff>
      <xdr:row>17</xdr:row>
      <xdr:rowOff>127000</xdr:rowOff>
    </xdr:from>
    <xdr:to>
      <xdr:col>1</xdr:col>
      <xdr:colOff>342348</xdr:colOff>
      <xdr:row>18</xdr:row>
      <xdr:rowOff>74699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673652" y="3942522"/>
          <a:ext cx="276087" cy="12991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refreshedDate="46080.923861111114" backgroundQuery="1" createdVersion="8" refreshedVersion="8" minRefreshableVersion="3" recordCount="0" supportSubquery="1" supportAdvancedDrill="1" xr:uid="{07D19B7C-36DA-4C3A-A1B5-2BC55778B598}">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 caption="5*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refreshedDate="46080.839385069441" backgroundQuery="1" createdVersion="8" refreshedVersion="8" minRefreshableVersion="3" recordCount="0" supportSubquery="1" supportAdvancedDrill="1" xr:uid="{F4E85F7F-D788-40D3-84D3-1242FF3471F5}">
  <cacheSource type="external" connectionId="2"/>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Calls ]" caption="5*Calls "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 caption="5*Calls "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refreshedDate="46081.463615509259" backgroundQuery="1" createdVersion="8" refreshedVersion="8" minRefreshableVersion="3" recordCount="0" supportSubquery="1" supportAdvancedDrill="1" xr:uid="{688ADD51-8716-44C3-AB71-1F2B7037519D}">
  <cacheSource type="external" connectionId="2"/>
  <cacheFields count="1">
    <cacheField name="[calls].[Representative].[Representative]" caption="Representative" numFmtId="0" hierarchy="3" level="1">
      <sharedItems count="5">
        <s v="R01"/>
        <s v="R02"/>
        <s v="R03"/>
        <s v="R04"/>
        <s v="R05"/>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 caption="5*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refreshedDate="46081.473488888892" backgroundQuery="1" createdVersion="8" refreshedVersion="8" minRefreshableVersion="3" recordCount="0" supportSubquery="1" supportAdvancedDrill="1" xr:uid="{95CA5A6F-7A4F-40F2-AE31-230DD2C29748}">
  <cacheSource type="external" connectionId="2"/>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Calls ]" caption="5*Calls "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 caption="5*Calls "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refreshedDate="46081.473489583332" backgroundQuery="1" createdVersion="8" refreshedVersion="8" minRefreshableVersion="3" recordCount="0" supportSubquery="1" supportAdvancedDrill="1" xr:uid="{411FBC35-9A8B-4740-8616-5259BCF664F9}">
  <cacheSource type="external" connectionId="2"/>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12-30T00:00:00" count="152">
        <d v="2023-01-01T00:00:00"/>
        <d v="2023-01-03T00:00:00"/>
        <d v="2023-01-04T00:00:00"/>
        <d v="2023-01-05T00:00:00"/>
        <d v="2023-01-08T00:00:00"/>
        <d v="2023-01-14T00:00:00"/>
        <d v="2023-01-16T00:00:00"/>
        <d v="2023-01-18T00:00:00"/>
        <d v="2023-01-20T00:00:00"/>
        <d v="2023-01-23T00:00:00"/>
        <d v="2023-01-24T00:00:00"/>
        <d v="2023-01-26T00:00:00"/>
        <d v="2023-01-30T00:00:00"/>
        <d v="2023-02-02T00:00:00"/>
        <d v="2023-02-07T00:00:00"/>
        <d v="2023-02-08T00:00:00"/>
        <d v="2023-02-12T00:00:00"/>
        <d v="2023-02-15T00:00:00"/>
        <d v="2023-02-16T00:00:00"/>
        <d v="2023-02-18T00:00:00"/>
        <d v="2023-02-24T00:00:00"/>
        <d v="2023-03-01T00:00:00"/>
        <d v="2023-03-02T00:00:00"/>
        <d v="2023-03-03T00:00:00"/>
        <d v="2023-03-04T00:00:00"/>
        <d v="2023-03-05T00:00:00"/>
        <d v="2023-03-06T00:00:00"/>
        <d v="2023-03-07T00:00:00"/>
        <d v="2023-03-08T00:00:00"/>
        <d v="2023-03-10T00:00:00"/>
        <d v="2023-03-12T00:00:00"/>
        <d v="2023-03-14T00:00:00"/>
        <d v="2023-03-15T00:00:00"/>
        <d v="2023-03-16T00:00:00"/>
        <d v="2023-03-18T00:00:00"/>
        <d v="2023-03-19T00:00:00"/>
        <d v="2023-03-20T00:00:00"/>
        <d v="2023-03-21T00:00:00"/>
        <d v="2023-03-22T00:00:00"/>
        <d v="2023-03-25T00:00:00"/>
        <d v="2023-03-26T00:00:00"/>
        <d v="2023-03-27T00:00:00"/>
        <d v="2023-03-28T00:00:00"/>
        <d v="2023-04-01T00:00:00"/>
        <d v="2023-04-04T00:00:00"/>
        <d v="2023-04-05T00:00:00"/>
        <d v="2023-04-06T00:00:00"/>
        <d v="2023-04-07T00:00:00"/>
        <d v="2023-04-08T00:00:00"/>
        <d v="2023-04-09T00:00:00"/>
        <d v="2023-04-10T00:00:00"/>
        <d v="2023-04-13T00:00:00"/>
        <d v="2023-04-14T00:00:00"/>
        <d v="2023-04-15T00:00:00"/>
        <d v="2023-04-16T00:00:00"/>
        <d v="2023-04-17T00:00:00"/>
        <d v="2023-04-19T00:00:00"/>
        <d v="2023-04-21T00:00:00"/>
        <d v="2023-04-22T00:00:00"/>
        <d v="2023-04-24T00:00:00"/>
        <d v="2023-04-25T00:00:00"/>
        <d v="2023-04-26T00:00:00"/>
        <d v="2023-04-28T00:00:00"/>
        <d v="2023-04-29T00:00:00"/>
        <d v="2023-05-01T00:00:00"/>
        <d v="2023-05-03T00:00:00"/>
        <d v="2023-05-04T00:00:00"/>
        <d v="2023-05-08T00:00:00"/>
        <d v="2023-05-09T00:00:00"/>
        <d v="2023-05-14T00:00:00"/>
        <d v="2023-05-16T00:00:00"/>
        <d v="2023-05-17T00:00:00"/>
        <d v="2023-05-24T00:00:00"/>
        <d v="2023-05-26T00:00:00"/>
        <d v="2023-05-30T00:00:00"/>
        <d v="2023-05-31T00:00:00"/>
        <d v="2023-06-01T00:00:00"/>
        <d v="2023-06-04T00:00:00"/>
        <d v="2023-06-05T00:00:00"/>
        <d v="2023-06-06T00:00:00"/>
        <d v="2023-06-14T00:00:00"/>
        <d v="2023-06-21T00:00:00"/>
        <d v="2023-06-23T00:00:00"/>
        <d v="2023-06-26T00:00:00"/>
        <d v="2023-06-27T00:00:00"/>
        <d v="2023-07-01T00:00:00"/>
        <d v="2023-07-02T00:00:00"/>
        <d v="2023-07-07T00:00:00"/>
        <d v="2023-07-11T00:00:00"/>
        <d v="2023-07-12T00:00:00"/>
        <d v="2023-07-13T00:00:00"/>
        <d v="2023-07-20T00:00:00"/>
        <d v="2023-07-25T00:00:00"/>
        <d v="2023-07-31T00:00:00"/>
        <d v="2023-08-03T00:00:00"/>
        <d v="2023-08-04T00:00:00"/>
        <d v="2023-08-05T00:00:00"/>
        <d v="2023-08-08T00:00:00"/>
        <d v="2023-08-13T00:00:00"/>
        <d v="2023-08-17T00:00:00"/>
        <d v="2023-08-21T00:00:00"/>
        <d v="2023-08-24T00:00:00"/>
        <d v="2023-08-25T00:00:00"/>
        <d v="2023-08-26T00:00:00"/>
        <d v="2023-08-30T00:00:00"/>
        <d v="2023-08-31T00:00:00"/>
        <d v="2023-09-03T00:00:00"/>
        <d v="2023-09-08T00:00:00"/>
        <d v="2023-09-09T00:00:00"/>
        <d v="2023-09-10T00:00:00"/>
        <d v="2023-09-12T00:00:00"/>
        <d v="2023-09-16T00:00:00"/>
        <d v="2023-09-21T00:00:00"/>
        <d v="2023-09-24T00:00:00"/>
        <d v="2023-09-27T00:00:00"/>
        <d v="2023-09-29T00:00:00"/>
        <d v="2023-10-01T00:00:00"/>
        <d v="2023-10-03T00:00:00"/>
        <d v="2023-10-05T00:00:00"/>
        <d v="2023-10-10T00:00:00"/>
        <d v="2023-10-12T00:00:00"/>
        <d v="2023-10-13T00:00:00"/>
        <d v="2023-10-15T00:00:00"/>
        <d v="2023-10-16T00:00:00"/>
        <d v="2023-10-18T00:00:00"/>
        <d v="2023-10-19T00:00:00"/>
        <d v="2023-10-22T00:00:00"/>
        <d v="2023-10-24T00:00:00"/>
        <d v="2023-10-25T00:00:00"/>
        <d v="2023-10-29T00:00:00"/>
        <d v="2023-11-01T00:00:00"/>
        <d v="2023-11-06T00:00:00"/>
        <d v="2023-11-08T00:00:00"/>
        <d v="2023-11-10T00:00:00"/>
        <d v="2023-11-14T00:00:00"/>
        <d v="2023-11-15T00:00:00"/>
        <d v="2023-11-16T00:00:00"/>
        <d v="2023-11-17T00:00:00"/>
        <d v="2023-11-18T00:00:00"/>
        <d v="2023-11-21T00:00:00"/>
        <d v="2023-11-24T00:00:00"/>
        <d v="2023-11-27T00:00:00"/>
        <d v="2023-11-28T00:00:00"/>
        <d v="2023-12-02T00:00:00"/>
        <d v="2023-12-03T00:00:00"/>
        <d v="2023-12-08T00:00:00"/>
        <d v="2023-12-09T00:00:00"/>
        <d v="2023-12-13T00:00:00"/>
        <d v="2023-12-15T00:00:00"/>
        <d v="2023-12-21T00:00:00"/>
        <d v="2023-12-26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 caption="5*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refreshedDate="46081.47349016204" backgroundQuery="1" createdVersion="8" refreshedVersion="8" minRefreshableVersion="3" recordCount="0" supportSubquery="1" supportAdvancedDrill="1" xr:uid="{29244DDB-36E8-4C59-880B-6ADBBCA6B423}">
  <cacheSource type="external" connectionId="2"/>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 caption="5*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refreshedDate="46081.47349074074" backgroundQuery="1" createdVersion="8" refreshedVersion="8" minRefreshableVersion="3" recordCount="0" supportSubquery="1" supportAdvancedDrill="1" xr:uid="{97B671B9-6534-45B0-8108-60FD85178C6B}">
  <cacheSource type="external" connectionId="2"/>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 caption="5*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refreshedDate="46081.473491203702" backgroundQuery="1" createdVersion="8" refreshedVersion="8" minRefreshableVersion="3" recordCount="0" supportSubquery="1" supportAdvancedDrill="1" xr:uid="{23210C4F-44C8-4D69-95DE-8CBB67203C52}">
  <cacheSource type="external" connectionId="2"/>
  <cacheFields count="4">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 caption="5*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refreshedDate="46081.473492245372" backgroundQuery="1" createdVersion="8" refreshedVersion="8" minRefreshableVersion="3" recordCount="0" supportSubquery="1" supportAdvancedDrill="1" xr:uid="{E4348310-C04E-4FBB-A45F-D4A8591440EB}">
  <cacheSource type="external" connectionId="2"/>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 caption="5*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refreshedDate="46080.839379513891" backgroundQuery="1" createdVersion="3" refreshedVersion="8" minRefreshableVersion="3" recordCount="0" supportSubquery="1" supportAdvancedDrill="1" xr:uid="{49A9F1D6-5E48-4AD9-81F0-517F5D35A74B}">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 caption="5*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646367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05BE18-FB66-49AE-B1DD-EA2DC10984B2}" name="WeekDayTrend" cacheId="15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0">
  <location ref="M5:N13"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4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A03D72-9ABE-4E6F-9EC0-A686EF45E9E3}" name="Rep anounce" cacheId="1578"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6">
  <location ref="A91:G110"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4D84F9-1B64-4DD7-9BB4-D1DB3B60EB3A}" name="rep satisfction pivot" cacheId="1572" applyNumberFormats="0" applyBorderFormats="0" applyFontFormats="0" applyPatternFormats="0" applyAlignmentFormats="0" applyWidthHeightFormats="1" dataCaption="Values" updatedVersion="8" minRefreshableVersion="3" useAutoFormatting="1" subtotalHiddenItems="1" itemPrintTitles="1" createdVersion="8" indent="0" showEmptyRow="1" showEmptyCol="1" outline="1" outlineData="1" multipleFieldFilters="0" chartFormat="32">
  <location ref="A72:B79"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E8B495-FDC7-4C68-9949-82C394BA7D5A}" name="monthly Trend" cacheId="15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location ref="A21:C3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28" format="4" series="1">
      <pivotArea type="data" outline="0" fieldPosition="0">
        <references count="1">
          <reference field="4294967294" count="1" selected="0">
            <x v="1"/>
          </reference>
        </references>
      </pivotArea>
    </chartFormat>
    <chartFormat chart="28" format="5"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90662F-A16F-40A0-A793-A5A340669BA9}" name="PivotTable6" cacheId="15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54:D59"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7">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6">
      <pivotArea type="data" outline="0" fieldPosition="0">
        <references count="3">
          <reference field="4294967294" count="1" selected="0">
            <x v="0"/>
          </reference>
          <reference field="0" count="1" selected="0">
            <x v="1"/>
          </reference>
          <reference field="1" count="1" selected="0">
            <x v="0"/>
          </reference>
        </references>
      </pivotArea>
    </chartFormat>
    <chartFormat chart="5" format="7">
      <pivotArea type="data" outline="0" fieldPosition="0">
        <references count="3">
          <reference field="4294967294" count="1" selected="0">
            <x v="0"/>
          </reference>
          <reference field="0" count="1" selected="0">
            <x v="0"/>
          </reference>
          <reference field="1" count="1" selected="0">
            <x v="0"/>
          </reference>
        </references>
      </pivotArea>
    </chartFormat>
    <chartFormat chart="5" format="8">
      <pivotArea type="data" outline="0" fieldPosition="0">
        <references count="3">
          <reference field="4294967294" count="1" selected="0">
            <x v="0"/>
          </reference>
          <reference field="0" count="1" selected="0">
            <x v="2"/>
          </reference>
          <reference field="1"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BF8911-0A5C-4727-A740-818407CB2DA3}" name="rep pivot" cacheId="15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E82B04-506A-4173-990C-095C92766195}" name="Summary Pivot table"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5A8D76-BB70-47D9-B549-0D74855E390E}" name="selected rep pivot" cacheId="145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E48:E53" firstHeaderRow="1" firstDataRow="1" firstDataCol="1"/>
  <pivotFields count="1">
    <pivotField axis="axisRow" allDrilled="1" subtotalTop="0" showAll="0" defaultSubtotal="0" defaultAttributeDrillState="1">
      <items count="5">
        <item x="0"/>
        <item x="1"/>
        <item x="2"/>
        <item x="3"/>
        <item x="4"/>
      </items>
    </pivotField>
  </pivotFields>
  <rowFields count="1">
    <field x="0"/>
  </rowFields>
  <rowItems count="5">
    <i>
      <x/>
    </i>
    <i>
      <x v="1"/>
    </i>
    <i>
      <x v="2"/>
    </i>
    <i>
      <x v="3"/>
    </i>
    <i>
      <x v="4"/>
    </i>
  </rowItems>
  <formats count="2">
    <format dxfId="2">
      <pivotArea dataOnly="0" labelOnly="1" fieldPosition="0">
        <references count="1">
          <reference field="0" count="0"/>
        </references>
      </pivotArea>
    </format>
    <format dxfId="3">
      <pivotArea dataOnly="0" labelOnly="1"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64D3BE-8EB1-459B-8366-51174A397D1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C46"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ACDF9E1-F6FF-4F77-BF55-25486E9784D7}"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A person in a skirt and a cardigan
Description automatically generated</v>
  </rv>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EF055523-A166-4154-B1B0-DA8D2C329DA9}" sourceName="[calls].[Representative]">
  <pivotTables>
    <pivotTable tabId="8" name="rep pivot"/>
    <pivotTable tabId="8" name="monthly Trend"/>
    <pivotTable tabId="8" name="WeekDayTrend"/>
    <pivotTable tabId="8" name="rep satisfction pivot"/>
    <pivotTable tabId="8" name="PivotTable6"/>
    <pivotTable tabId="8" name="Rep anounce"/>
  </pivotTables>
  <data>
    <olap pivotCacheId="1464636725">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00BB024C-89A0-42BA-B477-04D668A25885}" cache="Slicer_Representative" caption="Representative" level="1" style="SlicerStyleOther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DA3B42E5-DA9D-4623-B256-50644DF4F7E6}" cache="Slicer_Representative" caption="Representative"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9EC719-E7D1-4153-AE23-F79BEDC237EA}" name="Table_ExternalData_1" displayName="Table_ExternalData_1" ref="A3:M13" tableType="queryTable" totalsRowShown="0">
  <autoFilter ref="A3:M13" xr:uid="{599EC719-E7D1-4153-AE23-F79BEDC237EA}"/>
  <tableColumns count="13">
    <tableColumn id="1" xr3:uid="{EBDBD5C7-6EA6-4A16-8684-C7B7B4DD51E1}" uniqueName="1" name="calls[Call number]" queryTableFieldId="1"/>
    <tableColumn id="2" xr3:uid="{294E36A1-EFB2-4732-9E3F-BAC75FA9923D}" uniqueName="2" name="calls[Customer ID]" queryTableFieldId="2"/>
    <tableColumn id="3" xr3:uid="{E43D35B8-D603-43F6-B0BA-7BAE7DE04D64}" uniqueName="3" name="calls[Duration]" queryTableFieldId="3"/>
    <tableColumn id="4" xr3:uid="{10EB557F-D5B0-49A6-93B7-2517214E2329}" uniqueName="4" name="calls[Representative]" queryTableFieldId="4"/>
    <tableColumn id="5" xr3:uid="{08ED43B7-F9D9-46A8-87B4-1ADAE0A07CBF}" uniqueName="5" name="calls[Date of Call]" queryTableFieldId="5" dataDxfId="18"/>
    <tableColumn id="6" xr3:uid="{691042F8-16C5-44AD-91FD-3C38067C4891}" uniqueName="6" name="calls[Purchase Amount]" queryTableFieldId="6"/>
    <tableColumn id="7" xr3:uid="{3BED7F18-B5B3-44CA-A017-8A55D7BE8572}" uniqueName="7" name="calls[Satisfaction Rating]" queryTableFieldId="7"/>
    <tableColumn id="8" xr3:uid="{18320236-9493-4EDC-8142-B40A948F698B}" uniqueName="8" name="calls[FY]" queryTableFieldId="8"/>
    <tableColumn id="9" xr3:uid="{F7A37FF2-A314-4269-9747-D244E1B910DC}" uniqueName="9" name="calls[Day of week]" queryTableFieldId="9"/>
    <tableColumn id="10" xr3:uid="{7D6A7DCC-D03C-4AE1-A4C4-55B9EC1D7E97}" uniqueName="10" name="calls[Duration Bucket]" queryTableFieldId="10"/>
    <tableColumn id="11" xr3:uid="{1D1A281E-2D20-4EF1-BEFE-3397C7E1EEE3}" uniqueName="11" name="calls[Rating rounded]" queryTableFieldId="11"/>
    <tableColumn id="12" xr3:uid="{C0955661-C028-4C81-950C-1568A7AE05C9}" uniqueName="12" name="calls[Date of Call (Month)]" queryTableFieldId="12"/>
    <tableColumn id="13" xr3:uid="{02EE050D-C82D-4451-8776-F0C2DD8357C5}"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7"/>
    <tableColumn id="5" xr3:uid="{5A35565E-8707-4DED-AD15-A0669D67B382}" name="Date of Call" dataDxfId="16"/>
    <tableColumn id="6" xr3:uid="{F2E4F158-B41F-47BC-8DF8-DFCADFEE4E40}" name="Purchase Amount"/>
    <tableColumn id="7" xr3:uid="{04B291B5-47BD-4F78-8FD8-D1551CCA6BD9}" name="Satisfaction Rating"/>
    <tableColumn id="8" xr3:uid="{6E4123C0-0B17-43B8-A142-A1E540CE974C}" name="FY" dataDxfId="15">
      <calculatedColumnFormula>IF(MONTH(calls[[#This Row],[Date of Call]])&lt;=6, YEAR(calls[[#This Row],[Date of Call]]), YEAR(calls[[#This Row],[Date of Call]])+1)</calculatedColumnFormula>
    </tableColumn>
    <tableColumn id="9" xr3:uid="{199FA271-5E9B-46CE-9BC6-2801F92CD17E}" name="Day of week" dataDxfId="14">
      <calculatedColumnFormula>TEXT(calls[[#This Row],[Date of Call]],"DDDD")</calculatedColumnFormula>
    </tableColumn>
    <tableColumn id="10" xr3:uid="{328CDB09-95B8-4D5E-9ED9-EF0D363735A1}" name="Duration Bucket" dataDxfId="13">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2">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1" headerRowBorderDxfId="10" tableBorderDxfId="9" totalsRowBorderDxfId="8">
  <autoFilter ref="Q3:T18" xr:uid="{27158F51-A707-4171-8A04-81FB0AABCBA5}"/>
  <tableColumns count="4">
    <tableColumn id="1" xr3:uid="{02688061-6A8C-4E23-B7FF-D00CD8B58CAC}" name="Customer ID" dataDxfId="7"/>
    <tableColumn id="2" xr3:uid="{771678B6-DB44-426B-9874-B4E421A440D5}" name="Gedner" dataDxfId="6"/>
    <tableColumn id="3" xr3:uid="{B0D41C62-587E-494D-B49A-603F2C05F8D3}" name="Age" dataDxfId="5"/>
    <tableColumn id="4" xr3:uid="{663F92D6-FE31-4D81-9E01-8D066DDC8A88}" name="City" dataDxfId="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Custom 1">
      <a:majorFont>
        <a:latin typeface="Aptos"/>
        <a:ea typeface=""/>
        <a:cs typeface=""/>
      </a:majorFont>
      <a:minorFont>
        <a:latin typeface="Aptos Narrow"/>
        <a:ea typeface=""/>
        <a:cs typeface=""/>
      </a:minorFont>
    </a:fontScheme>
    <a:fmtScheme name="Glow Edge">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8FB94-D70F-4368-9919-928B60B55A31}">
  <dimension ref="A1:W41"/>
  <sheetViews>
    <sheetView zoomScale="66" zoomScaleNormal="88" workbookViewId="0">
      <selection activeCell="Y5" sqref="Y5"/>
    </sheetView>
  </sheetViews>
  <sheetFormatPr defaultRowHeight="14.5" x14ac:dyDescent="0.35"/>
  <cols>
    <col min="1" max="2" width="1.453125" style="20" customWidth="1"/>
    <col min="3" max="15" width="8.7265625" style="20"/>
    <col min="16" max="16" width="4.6328125" style="20" customWidth="1"/>
    <col min="17" max="17" width="13.08984375" style="20" customWidth="1"/>
    <col min="18" max="16384" width="8.7265625" style="20"/>
  </cols>
  <sheetData>
    <row r="1" spans="1:1" s="46" customFormat="1" ht="27" customHeight="1" x14ac:dyDescent="0.35">
      <c r="A1" s="46" t="s">
        <v>1108</v>
      </c>
    </row>
    <row r="2" spans="1:1" s="45" customFormat="1" ht="11" customHeight="1" x14ac:dyDescent="0.8"/>
    <row r="3" spans="1:1" s="45" customFormat="1" ht="8.5" customHeight="1" x14ac:dyDescent="0.8"/>
    <row r="20" spans="13:23" x14ac:dyDescent="0.35">
      <c r="Q20" s="35"/>
      <c r="R20" s="36" t="str" cm="1">
        <f t="array" ref="R20:V20">pivots!B92:F92</f>
        <v>R01</v>
      </c>
      <c r="S20" s="36" t="str">
        <v>R02</v>
      </c>
      <c r="T20" s="36" t="str">
        <v>R03</v>
      </c>
      <c r="U20" s="36" t="str">
        <v>R04</v>
      </c>
      <c r="V20" s="36" t="str">
        <v>R05</v>
      </c>
      <c r="W20" s="37" t="s">
        <v>1101</v>
      </c>
    </row>
    <row r="21" spans="13:23" x14ac:dyDescent="0.35">
      <c r="Q21" s="38" t="str" cm="1">
        <f t="array" ref="Q21:W38">IF(pivots!A93:G110=0,"",pivots!A93:G110)</f>
        <v>Cincinnati</v>
      </c>
      <c r="R21" s="31" t="str">
        <v/>
      </c>
      <c r="S21" s="31" t="str">
        <v/>
      </c>
      <c r="T21" s="31" t="str">
        <v/>
      </c>
      <c r="U21" s="31" t="str">
        <v/>
      </c>
      <c r="V21" s="31" t="str">
        <v/>
      </c>
      <c r="W21" s="32" t="str">
        <v/>
      </c>
    </row>
    <row r="22" spans="13:23" x14ac:dyDescent="0.35">
      <c r="Q22" s="38" t="str">
        <v>C0003</v>
      </c>
      <c r="R22" s="31">
        <v>891</v>
      </c>
      <c r="S22" s="31">
        <v>1332</v>
      </c>
      <c r="T22" s="31">
        <v>1282</v>
      </c>
      <c r="U22" s="31">
        <v>739</v>
      </c>
      <c r="V22" s="31">
        <v>560</v>
      </c>
      <c r="W22" s="32">
        <v>4804</v>
      </c>
    </row>
    <row r="23" spans="13:23" x14ac:dyDescent="0.35">
      <c r="Q23" s="38" t="str">
        <v>C0004</v>
      </c>
      <c r="R23" s="31">
        <v>1991</v>
      </c>
      <c r="S23" s="31">
        <v>1886</v>
      </c>
      <c r="T23" s="31">
        <v>1206</v>
      </c>
      <c r="U23" s="31">
        <v>884</v>
      </c>
      <c r="V23" s="31">
        <v>1722</v>
      </c>
      <c r="W23" s="32">
        <v>7689</v>
      </c>
    </row>
    <row r="24" spans="13:23" x14ac:dyDescent="0.35">
      <c r="Q24" s="38" t="str">
        <v>C0011</v>
      </c>
      <c r="R24" s="31">
        <v>1163</v>
      </c>
      <c r="S24" s="31">
        <v>1180</v>
      </c>
      <c r="T24" s="31">
        <v>1616</v>
      </c>
      <c r="U24" s="31">
        <v>1043</v>
      </c>
      <c r="V24" s="31">
        <v>1747</v>
      </c>
      <c r="W24" s="32">
        <v>6749</v>
      </c>
    </row>
    <row r="25" spans="13:23" x14ac:dyDescent="0.35">
      <c r="Q25" s="38" t="str">
        <v>C0012</v>
      </c>
      <c r="R25" s="31">
        <v>1438</v>
      </c>
      <c r="S25" s="31">
        <v>1616</v>
      </c>
      <c r="T25" s="31">
        <v>866</v>
      </c>
      <c r="U25" s="31">
        <v>829</v>
      </c>
      <c r="V25" s="31">
        <v>2070</v>
      </c>
      <c r="W25" s="32">
        <v>6819</v>
      </c>
    </row>
    <row r="26" spans="13:23" x14ac:dyDescent="0.35">
      <c r="Q26" s="38" t="str">
        <v>Cleveland</v>
      </c>
      <c r="R26" s="31" t="str">
        <v/>
      </c>
      <c r="S26" s="31" t="str">
        <v/>
      </c>
      <c r="T26" s="31" t="str">
        <v/>
      </c>
      <c r="U26" s="31" t="str">
        <v/>
      </c>
      <c r="V26" s="31" t="str">
        <v/>
      </c>
      <c r="W26" s="32" t="str">
        <v/>
      </c>
    </row>
    <row r="27" spans="13:23" x14ac:dyDescent="0.35">
      <c r="Q27" s="38" t="str">
        <v>C0002</v>
      </c>
      <c r="R27" s="31">
        <v>1233</v>
      </c>
      <c r="S27" s="31">
        <v>223</v>
      </c>
      <c r="T27" s="31">
        <v>1680</v>
      </c>
      <c r="U27" s="31">
        <v>990</v>
      </c>
      <c r="V27" s="31">
        <v>1508</v>
      </c>
      <c r="W27" s="32">
        <v>5634</v>
      </c>
    </row>
    <row r="28" spans="13:23" x14ac:dyDescent="0.35">
      <c r="Q28" s="38" t="str">
        <v>C0007</v>
      </c>
      <c r="R28" s="31">
        <v>1598</v>
      </c>
      <c r="S28" s="31">
        <v>1907</v>
      </c>
      <c r="T28" s="31">
        <v>869</v>
      </c>
      <c r="U28" s="31">
        <v>1426</v>
      </c>
      <c r="V28" s="31">
        <v>1416</v>
      </c>
      <c r="W28" s="32">
        <v>7216</v>
      </c>
    </row>
    <row r="29" spans="13:23" x14ac:dyDescent="0.35">
      <c r="Q29" s="38" t="str">
        <v>C0008</v>
      </c>
      <c r="R29" s="31">
        <v>900</v>
      </c>
      <c r="S29" s="31">
        <v>1016</v>
      </c>
      <c r="T29" s="31">
        <v>960</v>
      </c>
      <c r="U29" s="31">
        <v>940</v>
      </c>
      <c r="V29" s="31">
        <v>1193</v>
      </c>
      <c r="W29" s="32">
        <v>5009</v>
      </c>
    </row>
    <row r="30" spans="13:23" x14ac:dyDescent="0.35">
      <c r="Q30" s="38" t="str">
        <v>C0010</v>
      </c>
      <c r="R30" s="31">
        <v>900</v>
      </c>
      <c r="S30" s="31">
        <v>1470</v>
      </c>
      <c r="T30" s="31">
        <v>1617</v>
      </c>
      <c r="U30" s="31">
        <v>1314</v>
      </c>
      <c r="V30" s="31">
        <v>941</v>
      </c>
      <c r="W30" s="32">
        <v>6242</v>
      </c>
    </row>
    <row r="31" spans="13:23" x14ac:dyDescent="0.35">
      <c r="Q31" s="38" t="str">
        <v>C0013</v>
      </c>
      <c r="R31" s="31">
        <v>1255</v>
      </c>
      <c r="S31" s="31">
        <v>516</v>
      </c>
      <c r="T31" s="31">
        <v>1874</v>
      </c>
      <c r="U31" s="31">
        <v>1863</v>
      </c>
      <c r="V31" s="31">
        <v>1722</v>
      </c>
      <c r="W31" s="32">
        <v>7230</v>
      </c>
    </row>
    <row r="32" spans="13:23" x14ac:dyDescent="0.35">
      <c r="M32" s="41"/>
      <c r="O32" s="41"/>
      <c r="P32" s="42"/>
      <c r="Q32" s="38" t="str">
        <v>C0015</v>
      </c>
      <c r="R32" s="31">
        <v>1138</v>
      </c>
      <c r="S32" s="31">
        <v>1898</v>
      </c>
      <c r="T32" s="31">
        <v>1482</v>
      </c>
      <c r="U32" s="31">
        <v>846</v>
      </c>
      <c r="V32" s="31">
        <v>1154</v>
      </c>
      <c r="W32" s="32">
        <v>6518</v>
      </c>
    </row>
    <row r="33" spans="14:23" x14ac:dyDescent="0.35">
      <c r="O33" s="43" t="e" vm="1">
        <f>pivots!K27</f>
        <v>#VALUE!</v>
      </c>
      <c r="Q33" s="38" t="str">
        <v>Columbus</v>
      </c>
      <c r="R33" s="31" t="str">
        <v/>
      </c>
      <c r="S33" s="31" t="str">
        <v/>
      </c>
      <c r="T33" s="31" t="str">
        <v/>
      </c>
      <c r="U33" s="31" t="str">
        <v/>
      </c>
      <c r="V33" s="31" t="str">
        <v/>
      </c>
      <c r="W33" s="32" t="str">
        <v/>
      </c>
    </row>
    <row r="34" spans="14:23" x14ac:dyDescent="0.35">
      <c r="O34" s="43"/>
      <c r="P34" s="42"/>
      <c r="Q34" s="38" t="str">
        <v>C0001</v>
      </c>
      <c r="R34" s="31">
        <v>1655</v>
      </c>
      <c r="S34" s="31">
        <v>805</v>
      </c>
      <c r="T34" s="31">
        <v>2263</v>
      </c>
      <c r="U34" s="31">
        <v>987</v>
      </c>
      <c r="V34" s="31">
        <v>1075</v>
      </c>
      <c r="W34" s="32">
        <v>6785</v>
      </c>
    </row>
    <row r="35" spans="14:23" x14ac:dyDescent="0.35">
      <c r="O35" s="43"/>
      <c r="P35" s="42"/>
      <c r="Q35" s="38" t="str">
        <v>C0005</v>
      </c>
      <c r="R35" s="31">
        <v>1104</v>
      </c>
      <c r="S35" s="31">
        <v>2280</v>
      </c>
      <c r="T35" s="31">
        <v>1445</v>
      </c>
      <c r="U35" s="31">
        <v>1722</v>
      </c>
      <c r="V35" s="31">
        <v>1196</v>
      </c>
      <c r="W35" s="32">
        <v>7747</v>
      </c>
    </row>
    <row r="36" spans="14:23" x14ac:dyDescent="0.35">
      <c r="O36" s="43"/>
      <c r="P36" s="42"/>
      <c r="Q36" s="38" t="str">
        <v>C0006</v>
      </c>
      <c r="R36" s="31">
        <v>372</v>
      </c>
      <c r="S36" s="31">
        <v>1818</v>
      </c>
      <c r="T36" s="31">
        <v>1346</v>
      </c>
      <c r="U36" s="31">
        <v>1156</v>
      </c>
      <c r="V36" s="31">
        <v>1484</v>
      </c>
      <c r="W36" s="32">
        <v>6176</v>
      </c>
    </row>
    <row r="37" spans="14:23" x14ac:dyDescent="0.35">
      <c r="O37" s="43"/>
      <c r="Q37" s="38" t="str">
        <v>C0009</v>
      </c>
      <c r="R37" s="31">
        <v>1415</v>
      </c>
      <c r="S37" s="31">
        <v>1271</v>
      </c>
      <c r="T37" s="31">
        <v>1214</v>
      </c>
      <c r="U37" s="31">
        <v>1135</v>
      </c>
      <c r="V37" s="31">
        <v>1566</v>
      </c>
      <c r="W37" s="32">
        <v>6601</v>
      </c>
    </row>
    <row r="38" spans="14:23" x14ac:dyDescent="0.35">
      <c r="N38" s="43" t="str">
        <f>pivots!K23</f>
        <v>%calls:100%</v>
      </c>
      <c r="O38" s="43"/>
      <c r="P38" s="44"/>
      <c r="Q38" s="39" t="str">
        <v>C0014</v>
      </c>
      <c r="R38" s="33">
        <v>1362</v>
      </c>
      <c r="S38" s="33">
        <v>1363</v>
      </c>
      <c r="T38" s="33">
        <v>1152</v>
      </c>
      <c r="U38" s="33">
        <v>777</v>
      </c>
      <c r="V38" s="33">
        <v>750</v>
      </c>
      <c r="W38" s="34">
        <v>5404</v>
      </c>
    </row>
    <row r="39" spans="14:23" x14ac:dyDescent="0.35">
      <c r="N39" s="43" t="str">
        <f>pivots!K24</f>
        <v>Call Rank:189</v>
      </c>
      <c r="O39" s="43"/>
      <c r="P39" s="43"/>
    </row>
    <row r="40" spans="14:23" x14ac:dyDescent="0.35">
      <c r="N40" s="43" t="str">
        <f>pivots!K25</f>
        <v>Amount Rank:18415</v>
      </c>
      <c r="O40" s="43"/>
      <c r="P40" s="43"/>
    </row>
    <row r="41" spans="14:23" x14ac:dyDescent="0.35">
      <c r="N41" s="43"/>
      <c r="O41" s="43"/>
      <c r="P41" s="43"/>
    </row>
  </sheetData>
  <mergeCells count="5">
    <mergeCell ref="N39:P39"/>
    <mergeCell ref="N40:P40"/>
    <mergeCell ref="N41:P41"/>
    <mergeCell ref="O33:O37"/>
    <mergeCell ref="N38:P38"/>
  </mergeCells>
  <phoneticPr fontId="2" type="noConversion"/>
  <conditionalFormatting sqref="R22:V38">
    <cfRule type="dataBar" priority="4">
      <dataBar>
        <cfvo type="num" val="0"/>
        <cfvo type="formula" val="MAX($R$22:$V$38)*2"/>
        <color theme="1" tint="0.14999847407452621"/>
      </dataBar>
      <extLst>
        <ext xmlns:x14="http://schemas.microsoft.com/office/spreadsheetml/2009/9/main" uri="{B025F937-C7B1-47D3-B67F-A62EFF666E3E}">
          <x14:id>{32E0FA61-3D8C-4713-ADA9-291792541951}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32E0FA61-3D8C-4713-ADA9-291792541951}">
            <x14:dataBar minLength="0" maxLength="100" border="1" negativeBarBorderColorSameAsPositive="0">
              <x14:cfvo type="num">
                <xm:f>0</xm:f>
              </x14:cfvo>
              <x14:cfvo type="formula">
                <xm:f>MAX($R$22:$V$38)*2</xm:f>
              </x14:cfvo>
              <x14:borderColor rgb="FF638EC6"/>
              <x14:negativeFillColor rgb="FFFF0000"/>
              <x14:negativeBorderColor rgb="FFFF0000"/>
              <x14:axisColor rgb="FF000000"/>
            </x14:dataBar>
          </x14:cfRule>
          <xm:sqref>R22:V38</xm:sqref>
        </x14:conditionalFormatting>
        <x14:conditionalFormatting xmlns:xm="http://schemas.microsoft.com/office/excel/2006/main">
          <x14:cfRule type="expression" priority="1" id="{88793B5C-AB60-4FA8-842C-8CF7E2EBC5BB}">
            <xm:f>$R$20:$V$38=pivots!$E$49</xm:f>
            <x14:dxf>
              <fill>
                <patternFill>
                  <bgColor rgb="FF92D050"/>
                </patternFill>
              </fill>
              <border>
                <left style="thin">
                  <color theme="1" tint="0.34998626667073579"/>
                </left>
                <right style="thin">
                  <color theme="1" tint="0.34998626667073579"/>
                </right>
                <vertical/>
                <horizontal/>
              </border>
            </x14:dxf>
          </x14:cfRule>
          <x14:cfRule type="expression" priority="2" id="{053028CE-3C11-4E5C-8890-9467E6352CD8}">
            <xm:f>$R$20:$V$38=pivots!$E$49</xm:f>
            <x14:dxf/>
          </x14:cfRule>
          <x14:cfRule type="expression" priority="3" id="{3A154681-FABC-49FF-A14B-CBDE752258D5}">
            <xm:f>$R$20=pivots!$E$49</xm:f>
            <x14:dxf>
              <fill>
                <patternFill>
                  <bgColor rgb="FF92D050"/>
                </patternFill>
              </fill>
              <border>
                <left style="thin">
                  <color theme="1" tint="0.34998626667073579"/>
                </left>
                <right style="thin">
                  <color theme="1" tint="0.34998626667073579"/>
                </right>
                <vertical/>
                <horizontal/>
              </border>
            </x14:dxf>
          </x14:cfRule>
          <xm:sqref>R20:V38</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2A0CE-DD0B-43A1-A54B-AFB95DFE08FB}">
  <dimension ref="A1:M13"/>
  <sheetViews>
    <sheetView workbookViewId="0"/>
  </sheetViews>
  <sheetFormatPr defaultRowHeight="14.5" x14ac:dyDescent="0.35"/>
  <cols>
    <col min="1" max="1" width="18.7265625" bestFit="1" customWidth="1"/>
    <col min="2" max="2" width="18.81640625" bestFit="1" customWidth="1"/>
    <col min="3" max="3" width="15.7265625" bestFit="1" customWidth="1"/>
    <col min="4" max="4" width="21.1796875" bestFit="1" customWidth="1"/>
    <col min="5" max="5" width="18.08984375" bestFit="1" customWidth="1"/>
    <col min="6" max="6" width="23.36328125" bestFit="1" customWidth="1"/>
    <col min="7" max="7" width="24.453125" bestFit="1" customWidth="1"/>
    <col min="8" max="8" width="10.453125" bestFit="1" customWidth="1"/>
    <col min="9" max="9" width="18.36328125" bestFit="1" customWidth="1"/>
    <col min="10" max="10" width="22" bestFit="1" customWidth="1"/>
    <col min="11" max="11" width="21.26953125" bestFit="1" customWidth="1"/>
    <col min="12" max="12" width="25.1796875" bestFit="1" customWidth="1"/>
    <col min="13" max="13" width="30.26953125" bestFit="1" customWidth="1"/>
  </cols>
  <sheetData>
    <row r="1" spans="1:13" x14ac:dyDescent="0.35">
      <c r="A1" s="14" t="s">
        <v>1086</v>
      </c>
    </row>
    <row r="3" spans="1:13" x14ac:dyDescent="0.35">
      <c r="A3" t="s">
        <v>1064</v>
      </c>
      <c r="B3" t="s">
        <v>1065</v>
      </c>
      <c r="C3" t="s">
        <v>1066</v>
      </c>
      <c r="D3" t="s">
        <v>1067</v>
      </c>
      <c r="E3" t="s">
        <v>1068</v>
      </c>
      <c r="F3" t="s">
        <v>1069</v>
      </c>
      <c r="G3" t="s">
        <v>1070</v>
      </c>
      <c r="H3" t="s">
        <v>1071</v>
      </c>
      <c r="I3" t="s">
        <v>1072</v>
      </c>
      <c r="J3" t="s">
        <v>1073</v>
      </c>
      <c r="K3" t="s">
        <v>1074</v>
      </c>
      <c r="L3" t="s">
        <v>1075</v>
      </c>
      <c r="M3" t="s">
        <v>1076</v>
      </c>
    </row>
    <row r="4" spans="1:13" x14ac:dyDescent="0.35">
      <c r="A4" t="s">
        <v>113</v>
      </c>
      <c r="B4" t="s">
        <v>12</v>
      </c>
      <c r="C4">
        <v>47</v>
      </c>
      <c r="D4" t="s">
        <v>9</v>
      </c>
      <c r="E4" s="27">
        <v>44959</v>
      </c>
      <c r="F4">
        <v>34</v>
      </c>
      <c r="G4">
        <v>2.1</v>
      </c>
      <c r="H4">
        <v>2023</v>
      </c>
      <c r="I4" t="s">
        <v>1077</v>
      </c>
      <c r="J4" t="s">
        <v>1078</v>
      </c>
      <c r="K4">
        <v>2</v>
      </c>
      <c r="L4" t="s">
        <v>1052</v>
      </c>
      <c r="M4">
        <v>2</v>
      </c>
    </row>
    <row r="5" spans="1:13" x14ac:dyDescent="0.35">
      <c r="A5" t="s">
        <v>119</v>
      </c>
      <c r="B5" t="s">
        <v>16</v>
      </c>
      <c r="C5">
        <v>152</v>
      </c>
      <c r="D5" t="s">
        <v>9</v>
      </c>
      <c r="E5" s="27">
        <v>44964</v>
      </c>
      <c r="F5">
        <v>123</v>
      </c>
      <c r="G5">
        <v>4.5999999999999996</v>
      </c>
      <c r="H5">
        <v>2023</v>
      </c>
      <c r="I5" t="s">
        <v>1079</v>
      </c>
      <c r="J5" t="s">
        <v>1080</v>
      </c>
      <c r="K5">
        <v>5</v>
      </c>
      <c r="L5" t="s">
        <v>1052</v>
      </c>
      <c r="M5">
        <v>2</v>
      </c>
    </row>
    <row r="6" spans="1:13" x14ac:dyDescent="0.35">
      <c r="A6" t="s">
        <v>120</v>
      </c>
      <c r="B6" t="s">
        <v>23</v>
      </c>
      <c r="C6">
        <v>132</v>
      </c>
      <c r="D6" t="s">
        <v>9</v>
      </c>
      <c r="E6" s="27">
        <v>44964</v>
      </c>
      <c r="F6">
        <v>43</v>
      </c>
      <c r="G6">
        <v>4.5999999999999996</v>
      </c>
      <c r="H6">
        <v>2023</v>
      </c>
      <c r="I6" t="s">
        <v>1079</v>
      </c>
      <c r="J6" t="s">
        <v>1080</v>
      </c>
      <c r="K6">
        <v>5</v>
      </c>
      <c r="L6" t="s">
        <v>1052</v>
      </c>
      <c r="M6">
        <v>2</v>
      </c>
    </row>
    <row r="7" spans="1:13" x14ac:dyDescent="0.35">
      <c r="A7" t="s">
        <v>122</v>
      </c>
      <c r="B7" t="s">
        <v>16</v>
      </c>
      <c r="C7">
        <v>95</v>
      </c>
      <c r="D7" t="s">
        <v>9</v>
      </c>
      <c r="E7" s="27">
        <v>44965</v>
      </c>
      <c r="F7">
        <v>130</v>
      </c>
      <c r="G7">
        <v>5</v>
      </c>
      <c r="H7">
        <v>2023</v>
      </c>
      <c r="I7" t="s">
        <v>1081</v>
      </c>
      <c r="J7" t="s">
        <v>1082</v>
      </c>
      <c r="K7">
        <v>5</v>
      </c>
      <c r="L7" t="s">
        <v>1052</v>
      </c>
      <c r="M7">
        <v>2</v>
      </c>
    </row>
    <row r="8" spans="1:13" x14ac:dyDescent="0.35">
      <c r="A8" t="s">
        <v>130</v>
      </c>
      <c r="B8" t="s">
        <v>23</v>
      </c>
      <c r="C8">
        <v>78</v>
      </c>
      <c r="D8" t="s">
        <v>9</v>
      </c>
      <c r="E8" s="27">
        <v>44969</v>
      </c>
      <c r="F8">
        <v>23</v>
      </c>
      <c r="G8">
        <v>5</v>
      </c>
      <c r="H8">
        <v>2023</v>
      </c>
      <c r="I8" t="s">
        <v>1083</v>
      </c>
      <c r="J8" t="s">
        <v>1082</v>
      </c>
      <c r="K8">
        <v>5</v>
      </c>
      <c r="L8" t="s">
        <v>1052</v>
      </c>
      <c r="M8">
        <v>2</v>
      </c>
    </row>
    <row r="9" spans="1:13" x14ac:dyDescent="0.35">
      <c r="A9" t="s">
        <v>136</v>
      </c>
      <c r="B9" t="s">
        <v>12</v>
      </c>
      <c r="C9">
        <v>95</v>
      </c>
      <c r="D9" t="s">
        <v>9</v>
      </c>
      <c r="E9" s="27">
        <v>44972</v>
      </c>
      <c r="F9">
        <v>120</v>
      </c>
      <c r="G9">
        <v>4.8</v>
      </c>
      <c r="H9">
        <v>2023</v>
      </c>
      <c r="I9" t="s">
        <v>1081</v>
      </c>
      <c r="J9" t="s">
        <v>1082</v>
      </c>
      <c r="K9">
        <v>5</v>
      </c>
      <c r="L9" t="s">
        <v>1052</v>
      </c>
      <c r="M9">
        <v>2</v>
      </c>
    </row>
    <row r="10" spans="1:13" x14ac:dyDescent="0.35">
      <c r="A10" t="s">
        <v>144</v>
      </c>
      <c r="B10" t="s">
        <v>20</v>
      </c>
      <c r="C10">
        <v>99</v>
      </c>
      <c r="D10" t="s">
        <v>9</v>
      </c>
      <c r="E10" s="27">
        <v>44973</v>
      </c>
      <c r="F10">
        <v>78</v>
      </c>
      <c r="G10">
        <v>4.0999999999999996</v>
      </c>
      <c r="H10">
        <v>2023</v>
      </c>
      <c r="I10" t="s">
        <v>1077</v>
      </c>
      <c r="J10" t="s">
        <v>1082</v>
      </c>
      <c r="K10">
        <v>4</v>
      </c>
      <c r="L10" t="s">
        <v>1052</v>
      </c>
      <c r="M10">
        <v>2</v>
      </c>
    </row>
    <row r="11" spans="1:13" x14ac:dyDescent="0.35">
      <c r="A11" t="s">
        <v>148</v>
      </c>
      <c r="B11" t="s">
        <v>20</v>
      </c>
      <c r="C11">
        <v>68</v>
      </c>
      <c r="D11" t="s">
        <v>9</v>
      </c>
      <c r="E11" s="27">
        <v>44975</v>
      </c>
      <c r="F11">
        <v>22</v>
      </c>
      <c r="G11">
        <v>3.3</v>
      </c>
      <c r="H11">
        <v>2023</v>
      </c>
      <c r="I11" t="s">
        <v>1084</v>
      </c>
      <c r="J11" t="s">
        <v>1082</v>
      </c>
      <c r="K11">
        <v>3</v>
      </c>
      <c r="L11" t="s">
        <v>1052</v>
      </c>
      <c r="M11">
        <v>2</v>
      </c>
    </row>
    <row r="12" spans="1:13" x14ac:dyDescent="0.35">
      <c r="A12" t="s">
        <v>149</v>
      </c>
      <c r="B12" t="s">
        <v>18</v>
      </c>
      <c r="C12">
        <v>95</v>
      </c>
      <c r="D12" t="s">
        <v>9</v>
      </c>
      <c r="E12" s="27">
        <v>44975</v>
      </c>
      <c r="F12">
        <v>52</v>
      </c>
      <c r="G12">
        <v>4.8</v>
      </c>
      <c r="H12">
        <v>2023</v>
      </c>
      <c r="I12" t="s">
        <v>1084</v>
      </c>
      <c r="J12" t="s">
        <v>1082</v>
      </c>
      <c r="K12">
        <v>5</v>
      </c>
      <c r="L12" t="s">
        <v>1052</v>
      </c>
      <c r="M12">
        <v>2</v>
      </c>
    </row>
    <row r="13" spans="1:13" x14ac:dyDescent="0.35">
      <c r="A13" t="s">
        <v>159</v>
      </c>
      <c r="B13" t="s">
        <v>5</v>
      </c>
      <c r="C13">
        <v>138</v>
      </c>
      <c r="D13" t="s">
        <v>9</v>
      </c>
      <c r="E13" s="27">
        <v>44981</v>
      </c>
      <c r="F13">
        <v>35</v>
      </c>
      <c r="G13">
        <v>4.8</v>
      </c>
      <c r="H13">
        <v>2023</v>
      </c>
      <c r="I13" t="s">
        <v>1085</v>
      </c>
      <c r="J13" t="s">
        <v>1080</v>
      </c>
      <c r="K13">
        <v>5</v>
      </c>
      <c r="L13" t="s">
        <v>1052</v>
      </c>
      <c r="M13">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7B55E-A6B0-4A45-B694-E03B59C5A413}">
  <dimension ref="A2:N110"/>
  <sheetViews>
    <sheetView zoomScale="74" zoomScaleNormal="47" workbookViewId="0">
      <selection activeCell="K27" sqref="K27"/>
    </sheetView>
  </sheetViews>
  <sheetFormatPr defaultRowHeight="14.5" x14ac:dyDescent="0.35"/>
  <cols>
    <col min="1" max="1" width="12.90625" bestFit="1" customWidth="1"/>
    <col min="2" max="2" width="15.81640625" bestFit="1" customWidth="1"/>
    <col min="3" max="6" width="6.36328125" bestFit="1" customWidth="1"/>
    <col min="7" max="7" width="10.36328125" bestFit="1" customWidth="1"/>
    <col min="8" max="9" width="15.6328125" bestFit="1" customWidth="1"/>
    <col min="10" max="10" width="10.36328125" bestFit="1" customWidth="1"/>
    <col min="13" max="13" width="12.90625" bestFit="1" customWidth="1"/>
    <col min="14" max="14" width="9.6328125" bestFit="1" customWidth="1"/>
    <col min="17" max="17" width="12.453125" bestFit="1" customWidth="1"/>
    <col min="18" max="18" width="9.6328125" bestFit="1" customWidth="1"/>
    <col min="19" max="19" width="10.6328125" bestFit="1" customWidth="1"/>
  </cols>
  <sheetData>
    <row r="2" spans="1:14" x14ac:dyDescent="0.35">
      <c r="A2" t="s">
        <v>1048</v>
      </c>
    </row>
    <row r="3" spans="1:14" x14ac:dyDescent="0.35">
      <c r="A3" t="s">
        <v>1042</v>
      </c>
      <c r="B3" t="s">
        <v>1043</v>
      </c>
      <c r="C3" t="s">
        <v>1044</v>
      </c>
      <c r="D3" t="s">
        <v>1045</v>
      </c>
      <c r="E3" t="s">
        <v>1046</v>
      </c>
    </row>
    <row r="4" spans="1:14" x14ac:dyDescent="0.35">
      <c r="A4" s="21">
        <v>1000</v>
      </c>
      <c r="B4" s="22">
        <v>96623</v>
      </c>
      <c r="C4" s="21">
        <v>89850</v>
      </c>
      <c r="D4" s="23">
        <v>3.8854000000000033</v>
      </c>
      <c r="E4" s="21">
        <v>307</v>
      </c>
    </row>
    <row r="5" spans="1:14" x14ac:dyDescent="0.35">
      <c r="M5" s="24" t="s">
        <v>1049</v>
      </c>
      <c r="N5" t="s">
        <v>1042</v>
      </c>
    </row>
    <row r="6" spans="1:14" x14ac:dyDescent="0.35">
      <c r="M6" s="25" t="s">
        <v>1083</v>
      </c>
      <c r="N6" s="21">
        <v>146</v>
      </c>
    </row>
    <row r="7" spans="1:14" x14ac:dyDescent="0.35">
      <c r="M7" s="25" t="s">
        <v>1087</v>
      </c>
      <c r="N7" s="21">
        <v>133</v>
      </c>
    </row>
    <row r="8" spans="1:14" x14ac:dyDescent="0.35">
      <c r="A8" t="s">
        <v>1047</v>
      </c>
      <c r="M8" s="25" t="s">
        <v>1079</v>
      </c>
      <c r="N8" s="21">
        <v>138</v>
      </c>
    </row>
    <row r="9" spans="1:14" x14ac:dyDescent="0.35">
      <c r="A9" t="s">
        <v>1042</v>
      </c>
      <c r="B9" t="s">
        <v>1043</v>
      </c>
      <c r="C9" t="s">
        <v>1044</v>
      </c>
      <c r="D9" t="s">
        <v>1045</v>
      </c>
      <c r="E9" t="s">
        <v>1046</v>
      </c>
      <c r="M9" s="25" t="s">
        <v>1081</v>
      </c>
      <c r="N9" s="21">
        <v>153</v>
      </c>
    </row>
    <row r="10" spans="1:14" x14ac:dyDescent="0.35">
      <c r="A10" s="21">
        <v>1000</v>
      </c>
      <c r="B10" s="22">
        <v>96623</v>
      </c>
      <c r="C10" s="21">
        <v>89850</v>
      </c>
      <c r="D10" s="23">
        <v>3.8854000000000033</v>
      </c>
      <c r="E10" s="21">
        <v>307</v>
      </c>
      <c r="M10" s="25" t="s">
        <v>1077</v>
      </c>
      <c r="N10" s="21">
        <v>128</v>
      </c>
    </row>
    <row r="11" spans="1:14" x14ac:dyDescent="0.35">
      <c r="M11" s="25" t="s">
        <v>1085</v>
      </c>
      <c r="N11" s="21">
        <v>141</v>
      </c>
    </row>
    <row r="12" spans="1:14" x14ac:dyDescent="0.35">
      <c r="M12" s="25" t="s">
        <v>1084</v>
      </c>
      <c r="N12" s="21">
        <v>161</v>
      </c>
    </row>
    <row r="13" spans="1:14" x14ac:dyDescent="0.35">
      <c r="J13" t="s">
        <v>1102</v>
      </c>
      <c r="M13" s="25" t="s">
        <v>1050</v>
      </c>
      <c r="N13" s="21">
        <v>1000</v>
      </c>
    </row>
    <row r="15" spans="1:14" x14ac:dyDescent="0.35">
      <c r="J15" t="s">
        <v>1103</v>
      </c>
      <c r="K15" s="40">
        <f>A10/A4</f>
        <v>1</v>
      </c>
    </row>
    <row r="16" spans="1:14" x14ac:dyDescent="0.35">
      <c r="J16" t="s">
        <v>1104</v>
      </c>
      <c r="K16">
        <f>_xlfn.XLOOKUP(E49,F40:F44,G40:G44)</f>
        <v>189</v>
      </c>
    </row>
    <row r="17" spans="1:11" x14ac:dyDescent="0.35">
      <c r="J17" t="s">
        <v>1105</v>
      </c>
      <c r="K17">
        <f>_xlfn.XLOOKUP(E49,F40:F44,H40:H44)</f>
        <v>18415</v>
      </c>
    </row>
    <row r="19" spans="1:11" x14ac:dyDescent="0.35">
      <c r="J19" t="s">
        <v>1104</v>
      </c>
      <c r="K19">
        <f>_xlfn.RANK.AVG(K16,G40:G44)</f>
        <v>4</v>
      </c>
    </row>
    <row r="20" spans="1:11" x14ac:dyDescent="0.35">
      <c r="J20" t="s">
        <v>1105</v>
      </c>
      <c r="K20">
        <f>_xlfn.RANK.AVG(K17,H40:H44)</f>
        <v>4</v>
      </c>
    </row>
    <row r="21" spans="1:11" x14ac:dyDescent="0.35">
      <c r="A21" s="24" t="s">
        <v>1049</v>
      </c>
      <c r="B21" t="s">
        <v>1042</v>
      </c>
      <c r="C21" t="s">
        <v>1063</v>
      </c>
    </row>
    <row r="22" spans="1:11" x14ac:dyDescent="0.35">
      <c r="A22" s="25" t="s">
        <v>1051</v>
      </c>
      <c r="B22" s="21">
        <v>79</v>
      </c>
      <c r="C22" s="21">
        <v>79</v>
      </c>
      <c r="J22" t="s">
        <v>1106</v>
      </c>
    </row>
    <row r="23" spans="1:11" x14ac:dyDescent="0.35">
      <c r="A23" s="25" t="s">
        <v>1052</v>
      </c>
      <c r="B23" s="21">
        <v>66</v>
      </c>
      <c r="C23" s="21">
        <v>66</v>
      </c>
      <c r="K23" t="str">
        <f>"%calls:"&amp;TEXT(K15,"0%")</f>
        <v>%calls:100%</v>
      </c>
    </row>
    <row r="24" spans="1:11" x14ac:dyDescent="0.35">
      <c r="A24" s="25" t="s">
        <v>1053</v>
      </c>
      <c r="B24" s="21">
        <v>155</v>
      </c>
      <c r="C24" s="21">
        <v>155</v>
      </c>
      <c r="K24" t="str">
        <f>"Call Rank:"&amp;K16</f>
        <v>Call Rank:189</v>
      </c>
    </row>
    <row r="25" spans="1:11" x14ac:dyDescent="0.35">
      <c r="A25" s="25" t="s">
        <v>1054</v>
      </c>
      <c r="B25" s="21">
        <v>136</v>
      </c>
      <c r="C25" s="21">
        <v>136</v>
      </c>
      <c r="K25" t="str">
        <f>"Amount Rank:"&amp;K17</f>
        <v>Amount Rank:18415</v>
      </c>
    </row>
    <row r="26" spans="1:11" x14ac:dyDescent="0.35">
      <c r="A26" s="25" t="s">
        <v>1055</v>
      </c>
      <c r="B26" s="21">
        <v>83</v>
      </c>
      <c r="C26" s="21">
        <v>83</v>
      </c>
    </row>
    <row r="27" spans="1:11" x14ac:dyDescent="0.35">
      <c r="A27" s="25" t="s">
        <v>1056</v>
      </c>
      <c r="B27" s="21">
        <v>67</v>
      </c>
      <c r="C27" s="21">
        <v>67</v>
      </c>
      <c r="J27" t="s">
        <v>1107</v>
      </c>
      <c r="K27" t="e" vm="1">
        <f>_xlfn.XLOOKUP(E49,Assets!E3:E7,Assets!F3:F7)</f>
        <v>#VALUE!</v>
      </c>
    </row>
    <row r="28" spans="1:11" x14ac:dyDescent="0.35">
      <c r="A28" s="25" t="s">
        <v>1057</v>
      </c>
      <c r="B28" s="21">
        <v>64</v>
      </c>
      <c r="C28" s="21">
        <v>64</v>
      </c>
    </row>
    <row r="29" spans="1:11" x14ac:dyDescent="0.35">
      <c r="A29" s="25" t="s">
        <v>1058</v>
      </c>
      <c r="B29" s="21">
        <v>50</v>
      </c>
      <c r="C29" s="21">
        <v>50</v>
      </c>
    </row>
    <row r="30" spans="1:11" x14ac:dyDescent="0.35">
      <c r="A30" s="25" t="s">
        <v>1059</v>
      </c>
      <c r="B30" s="21">
        <v>76</v>
      </c>
      <c r="C30" s="21">
        <v>76</v>
      </c>
    </row>
    <row r="31" spans="1:11" x14ac:dyDescent="0.35">
      <c r="A31" s="25" t="s">
        <v>1060</v>
      </c>
      <c r="B31" s="21">
        <v>114</v>
      </c>
      <c r="C31" s="21">
        <v>114</v>
      </c>
    </row>
    <row r="32" spans="1:11" x14ac:dyDescent="0.35">
      <c r="A32" s="25" t="s">
        <v>1061</v>
      </c>
      <c r="B32" s="21">
        <v>57</v>
      </c>
      <c r="C32" s="21">
        <v>57</v>
      </c>
    </row>
    <row r="33" spans="1:13" x14ac:dyDescent="0.35">
      <c r="A33" s="25" t="s">
        <v>1062</v>
      </c>
      <c r="B33" s="21">
        <v>53</v>
      </c>
      <c r="C33" s="21">
        <v>53</v>
      </c>
    </row>
    <row r="34" spans="1:13" x14ac:dyDescent="0.35">
      <c r="A34" s="25" t="s">
        <v>1050</v>
      </c>
      <c r="B34" s="21">
        <v>1000</v>
      </c>
      <c r="C34" s="21">
        <v>1000</v>
      </c>
    </row>
    <row r="37" spans="1:13" x14ac:dyDescent="0.35">
      <c r="F37" t="s">
        <v>1088</v>
      </c>
      <c r="H37" t="s">
        <v>1096</v>
      </c>
      <c r="I37" t="str">
        <f>E49</f>
        <v>R01</v>
      </c>
      <c r="M37" t="s">
        <v>1089</v>
      </c>
    </row>
    <row r="39" spans="1:13" x14ac:dyDescent="0.35">
      <c r="F39" t="s">
        <v>1090</v>
      </c>
      <c r="G39" t="s">
        <v>1091</v>
      </c>
      <c r="H39" t="s">
        <v>1092</v>
      </c>
      <c r="I39" t="s">
        <v>1093</v>
      </c>
      <c r="J39" t="s">
        <v>1094</v>
      </c>
    </row>
    <row r="40" spans="1:13" x14ac:dyDescent="0.35">
      <c r="A40" s="24" t="s">
        <v>1049</v>
      </c>
      <c r="B40" t="s">
        <v>1042</v>
      </c>
      <c r="C40" t="s">
        <v>1043</v>
      </c>
      <c r="F40" t="str" cm="1">
        <f t="array" ref="F40:H44">A41:C45</f>
        <v>R01</v>
      </c>
      <c r="G40">
        <v>189</v>
      </c>
      <c r="H40" s="28">
        <v>18415</v>
      </c>
      <c r="I40" s="28">
        <f>IF(F40=I37,G40,NA())</f>
        <v>189</v>
      </c>
      <c r="J40" s="28">
        <f>IF(F40=I37,H40,NA())</f>
        <v>18415</v>
      </c>
      <c r="K40" s="28"/>
      <c r="L40" s="28"/>
    </row>
    <row r="41" spans="1:13" x14ac:dyDescent="0.35">
      <c r="A41" s="25" t="s">
        <v>11</v>
      </c>
      <c r="B41" s="21">
        <v>189</v>
      </c>
      <c r="C41" s="22">
        <v>18415</v>
      </c>
      <c r="F41" t="str">
        <v>R02</v>
      </c>
      <c r="G41">
        <v>218</v>
      </c>
      <c r="H41" s="28">
        <v>20581</v>
      </c>
      <c r="I41" s="28" t="e">
        <f t="shared" ref="I41:I44" si="0">IF(F41=I38,G41,NA())</f>
        <v>#N/A</v>
      </c>
      <c r="J41" s="28" t="e">
        <f t="shared" ref="J41:J44" si="1">IF(F41=I38,H41,NA())</f>
        <v>#N/A</v>
      </c>
      <c r="K41" s="28"/>
      <c r="L41" s="28"/>
    </row>
    <row r="42" spans="1:13" x14ac:dyDescent="0.35">
      <c r="A42" s="25" t="s">
        <v>9</v>
      </c>
      <c r="B42" s="21">
        <v>218</v>
      </c>
      <c r="C42" s="22">
        <v>20581</v>
      </c>
      <c r="F42" t="str">
        <v>R03</v>
      </c>
      <c r="G42">
        <v>207</v>
      </c>
      <c r="H42" s="28">
        <v>20872</v>
      </c>
      <c r="I42" s="28" t="e">
        <f t="shared" si="0"/>
        <v>#N/A</v>
      </c>
      <c r="J42" s="28" t="e">
        <f t="shared" si="1"/>
        <v>#N/A</v>
      </c>
      <c r="K42" s="28"/>
      <c r="L42" s="28"/>
    </row>
    <row r="43" spans="1:13" x14ac:dyDescent="0.35">
      <c r="A43" s="25" t="s">
        <v>6</v>
      </c>
      <c r="B43" s="21">
        <v>207</v>
      </c>
      <c r="C43" s="22">
        <v>20872</v>
      </c>
      <c r="F43" t="str">
        <v>R04</v>
      </c>
      <c r="G43">
        <v>186</v>
      </c>
      <c r="H43" s="28">
        <v>16651</v>
      </c>
      <c r="I43" s="28" t="e">
        <f t="shared" si="0"/>
        <v>#N/A</v>
      </c>
      <c r="J43" s="28" t="e">
        <f>IF(F43=I40,H43,NA())</f>
        <v>#N/A</v>
      </c>
      <c r="K43" s="28"/>
      <c r="L43" s="28"/>
    </row>
    <row r="44" spans="1:13" x14ac:dyDescent="0.35">
      <c r="A44" s="25" t="s">
        <v>13</v>
      </c>
      <c r="B44" s="21">
        <v>186</v>
      </c>
      <c r="C44" s="22">
        <v>16651</v>
      </c>
      <c r="F44" t="str">
        <v>R05</v>
      </c>
      <c r="G44">
        <v>200</v>
      </c>
      <c r="H44" s="28">
        <v>20104</v>
      </c>
      <c r="I44" s="28" t="e">
        <f t="shared" si="0"/>
        <v>#N/A</v>
      </c>
      <c r="J44" s="28" t="e">
        <f t="shared" si="1"/>
        <v>#N/A</v>
      </c>
      <c r="K44" s="28"/>
      <c r="L44" s="28"/>
    </row>
    <row r="45" spans="1:13" x14ac:dyDescent="0.35">
      <c r="A45" s="25" t="s">
        <v>10</v>
      </c>
      <c r="B45" s="21">
        <v>200</v>
      </c>
      <c r="C45" s="22">
        <v>20104</v>
      </c>
    </row>
    <row r="46" spans="1:13" x14ac:dyDescent="0.35">
      <c r="A46" s="25" t="s">
        <v>1050</v>
      </c>
      <c r="B46" s="21">
        <v>1000</v>
      </c>
      <c r="C46" s="22">
        <v>96623</v>
      </c>
    </row>
    <row r="48" spans="1:13" x14ac:dyDescent="0.35">
      <c r="E48" s="24" t="s">
        <v>1049</v>
      </c>
    </row>
    <row r="49" spans="1:5" x14ac:dyDescent="0.35">
      <c r="E49" s="29" t="s">
        <v>11</v>
      </c>
    </row>
    <row r="50" spans="1:5" x14ac:dyDescent="0.35">
      <c r="E50" s="29" t="s">
        <v>9</v>
      </c>
    </row>
    <row r="51" spans="1:5" x14ac:dyDescent="0.35">
      <c r="E51" s="29" t="s">
        <v>6</v>
      </c>
    </row>
    <row r="52" spans="1:5" x14ac:dyDescent="0.35">
      <c r="A52" t="s">
        <v>1097</v>
      </c>
      <c r="E52" s="29" t="s">
        <v>13</v>
      </c>
    </row>
    <row r="53" spans="1:5" x14ac:dyDescent="0.35">
      <c r="E53" s="29" t="s">
        <v>10</v>
      </c>
    </row>
    <row r="54" spans="1:5" x14ac:dyDescent="0.35">
      <c r="A54" s="24" t="s">
        <v>1042</v>
      </c>
      <c r="B54" s="24" t="s">
        <v>1095</v>
      </c>
    </row>
    <row r="55" spans="1:5" x14ac:dyDescent="0.35">
      <c r="A55" s="24" t="s">
        <v>1049</v>
      </c>
      <c r="B55" t="s">
        <v>999</v>
      </c>
      <c r="C55" t="s">
        <v>998</v>
      </c>
      <c r="D55" t="s">
        <v>1050</v>
      </c>
    </row>
    <row r="56" spans="1:5" x14ac:dyDescent="0.35">
      <c r="A56" s="25" t="s">
        <v>1002</v>
      </c>
      <c r="B56" s="21">
        <v>144</v>
      </c>
      <c r="C56" s="21">
        <v>132</v>
      </c>
      <c r="D56" s="21">
        <v>276</v>
      </c>
    </row>
    <row r="57" spans="1:5" x14ac:dyDescent="0.35">
      <c r="A57" s="25" t="s">
        <v>1001</v>
      </c>
      <c r="B57" s="21">
        <v>326</v>
      </c>
      <c r="C57" s="21">
        <v>63</v>
      </c>
      <c r="D57" s="21">
        <v>389</v>
      </c>
    </row>
    <row r="58" spans="1:5" x14ac:dyDescent="0.35">
      <c r="A58" s="25" t="s">
        <v>1000</v>
      </c>
      <c r="B58" s="21">
        <v>129</v>
      </c>
      <c r="C58" s="21">
        <v>206</v>
      </c>
      <c r="D58" s="21">
        <v>335</v>
      </c>
    </row>
    <row r="59" spans="1:5" x14ac:dyDescent="0.35">
      <c r="A59" s="25" t="s">
        <v>1050</v>
      </c>
      <c r="B59" s="21">
        <v>599</v>
      </c>
      <c r="C59" s="21">
        <v>401</v>
      </c>
      <c r="D59" s="21">
        <v>1000</v>
      </c>
    </row>
    <row r="71" spans="1:2" x14ac:dyDescent="0.35">
      <c r="A71" t="s">
        <v>1098</v>
      </c>
    </row>
    <row r="72" spans="1:2" x14ac:dyDescent="0.35">
      <c r="A72" s="24" t="s">
        <v>1049</v>
      </c>
      <c r="B72" t="s">
        <v>1042</v>
      </c>
    </row>
    <row r="73" spans="1:2" x14ac:dyDescent="0.35">
      <c r="A73" s="25">
        <v>0</v>
      </c>
      <c r="B73" s="21">
        <v>1</v>
      </c>
    </row>
    <row r="74" spans="1:2" x14ac:dyDescent="0.35">
      <c r="A74" s="25">
        <v>1</v>
      </c>
      <c r="B74" s="21">
        <v>8</v>
      </c>
    </row>
    <row r="75" spans="1:2" x14ac:dyDescent="0.35">
      <c r="A75" s="25">
        <v>2</v>
      </c>
      <c r="B75" s="21">
        <v>59</v>
      </c>
    </row>
    <row r="76" spans="1:2" x14ac:dyDescent="0.35">
      <c r="A76" s="25">
        <v>3</v>
      </c>
      <c r="B76" s="21">
        <v>197</v>
      </c>
    </row>
    <row r="77" spans="1:2" x14ac:dyDescent="0.35">
      <c r="A77" s="25">
        <v>4</v>
      </c>
      <c r="B77" s="21">
        <v>428</v>
      </c>
    </row>
    <row r="78" spans="1:2" x14ac:dyDescent="0.35">
      <c r="A78" s="25">
        <v>5</v>
      </c>
      <c r="B78" s="21">
        <v>307</v>
      </c>
    </row>
    <row r="79" spans="1:2" x14ac:dyDescent="0.35">
      <c r="A79" s="25" t="s">
        <v>1050</v>
      </c>
      <c r="B79" s="21">
        <v>1000</v>
      </c>
    </row>
    <row r="90" spans="1:7" x14ac:dyDescent="0.35">
      <c r="A90" t="s">
        <v>1099</v>
      </c>
      <c r="E90" t="s">
        <v>1100</v>
      </c>
    </row>
    <row r="91" spans="1:7" x14ac:dyDescent="0.35">
      <c r="A91" s="24" t="s">
        <v>1043</v>
      </c>
      <c r="B91" s="24" t="s">
        <v>1095</v>
      </c>
    </row>
    <row r="92" spans="1:7" x14ac:dyDescent="0.35">
      <c r="A92" s="24" t="s">
        <v>1049</v>
      </c>
      <c r="B92" t="s">
        <v>11</v>
      </c>
      <c r="C92" t="s">
        <v>9</v>
      </c>
      <c r="D92" t="s">
        <v>6</v>
      </c>
      <c r="E92" t="s">
        <v>13</v>
      </c>
      <c r="F92" t="s">
        <v>10</v>
      </c>
      <c r="G92" t="s">
        <v>1050</v>
      </c>
    </row>
    <row r="93" spans="1:7" x14ac:dyDescent="0.35">
      <c r="A93" s="25" t="s">
        <v>1002</v>
      </c>
      <c r="B93" s="26"/>
      <c r="C93" s="26"/>
      <c r="D93" s="26"/>
      <c r="E93" s="26"/>
      <c r="F93" s="26"/>
      <c r="G93" s="26"/>
    </row>
    <row r="94" spans="1:7" x14ac:dyDescent="0.35">
      <c r="A94" s="30" t="s">
        <v>20</v>
      </c>
      <c r="B94" s="22">
        <v>891</v>
      </c>
      <c r="C94" s="22">
        <v>1332</v>
      </c>
      <c r="D94" s="22">
        <v>1282</v>
      </c>
      <c r="E94" s="22">
        <v>739</v>
      </c>
      <c r="F94" s="22">
        <v>560</v>
      </c>
      <c r="G94" s="22">
        <v>4804</v>
      </c>
    </row>
    <row r="95" spans="1:7" x14ac:dyDescent="0.35">
      <c r="A95" s="30" t="s">
        <v>12</v>
      </c>
      <c r="B95" s="22">
        <v>1991</v>
      </c>
      <c r="C95" s="22">
        <v>1886</v>
      </c>
      <c r="D95" s="22">
        <v>1206</v>
      </c>
      <c r="E95" s="22">
        <v>884</v>
      </c>
      <c r="F95" s="22">
        <v>1722</v>
      </c>
      <c r="G95" s="22">
        <v>7689</v>
      </c>
    </row>
    <row r="96" spans="1:7" x14ac:dyDescent="0.35">
      <c r="A96" s="30" t="s">
        <v>8</v>
      </c>
      <c r="B96" s="22">
        <v>1163</v>
      </c>
      <c r="C96" s="22">
        <v>1180</v>
      </c>
      <c r="D96" s="22">
        <v>1616</v>
      </c>
      <c r="E96" s="22">
        <v>1043</v>
      </c>
      <c r="F96" s="22">
        <v>1747</v>
      </c>
      <c r="G96" s="22">
        <v>6749</v>
      </c>
    </row>
    <row r="97" spans="1:7" x14ac:dyDescent="0.35">
      <c r="A97" s="30" t="s">
        <v>16</v>
      </c>
      <c r="B97" s="22">
        <v>1438</v>
      </c>
      <c r="C97" s="22">
        <v>1616</v>
      </c>
      <c r="D97" s="22">
        <v>866</v>
      </c>
      <c r="E97" s="22">
        <v>829</v>
      </c>
      <c r="F97" s="22">
        <v>2070</v>
      </c>
      <c r="G97" s="22">
        <v>6819</v>
      </c>
    </row>
    <row r="98" spans="1:7" x14ac:dyDescent="0.35">
      <c r="A98" s="25" t="s">
        <v>1001</v>
      </c>
      <c r="B98" s="26"/>
      <c r="C98" s="26"/>
      <c r="D98" s="26"/>
      <c r="E98" s="26"/>
      <c r="F98" s="26"/>
      <c r="G98" s="26"/>
    </row>
    <row r="99" spans="1:7" x14ac:dyDescent="0.35">
      <c r="A99" s="30" t="s">
        <v>24</v>
      </c>
      <c r="B99" s="22">
        <v>1233</v>
      </c>
      <c r="C99" s="22">
        <v>223</v>
      </c>
      <c r="D99" s="22">
        <v>1680</v>
      </c>
      <c r="E99" s="22">
        <v>990</v>
      </c>
      <c r="F99" s="22">
        <v>1508</v>
      </c>
      <c r="G99" s="22">
        <v>5634</v>
      </c>
    </row>
    <row r="100" spans="1:7" x14ac:dyDescent="0.35">
      <c r="A100" s="30" t="s">
        <v>15</v>
      </c>
      <c r="B100" s="22">
        <v>1598</v>
      </c>
      <c r="C100" s="22">
        <v>1907</v>
      </c>
      <c r="D100" s="22">
        <v>869</v>
      </c>
      <c r="E100" s="22">
        <v>1426</v>
      </c>
      <c r="F100" s="22">
        <v>1416</v>
      </c>
      <c r="G100" s="22">
        <v>7216</v>
      </c>
    </row>
    <row r="101" spans="1:7" x14ac:dyDescent="0.35">
      <c r="A101" s="30" t="s">
        <v>5</v>
      </c>
      <c r="B101" s="22">
        <v>900</v>
      </c>
      <c r="C101" s="22">
        <v>1016</v>
      </c>
      <c r="D101" s="22">
        <v>960</v>
      </c>
      <c r="E101" s="22">
        <v>940</v>
      </c>
      <c r="F101" s="22">
        <v>1193</v>
      </c>
      <c r="G101" s="22">
        <v>5009</v>
      </c>
    </row>
    <row r="102" spans="1:7" x14ac:dyDescent="0.35">
      <c r="A102" s="30" t="s">
        <v>18</v>
      </c>
      <c r="B102" s="22">
        <v>900</v>
      </c>
      <c r="C102" s="22">
        <v>1470</v>
      </c>
      <c r="D102" s="22">
        <v>1617</v>
      </c>
      <c r="E102" s="22">
        <v>1314</v>
      </c>
      <c r="F102" s="22">
        <v>941</v>
      </c>
      <c r="G102" s="22">
        <v>6242</v>
      </c>
    </row>
    <row r="103" spans="1:7" x14ac:dyDescent="0.35">
      <c r="A103" s="30" t="s">
        <v>14</v>
      </c>
      <c r="B103" s="22">
        <v>1255</v>
      </c>
      <c r="C103" s="22">
        <v>516</v>
      </c>
      <c r="D103" s="22">
        <v>1874</v>
      </c>
      <c r="E103" s="22">
        <v>1863</v>
      </c>
      <c r="F103" s="22">
        <v>1722</v>
      </c>
      <c r="G103" s="22">
        <v>7230</v>
      </c>
    </row>
    <row r="104" spans="1:7" x14ac:dyDescent="0.35">
      <c r="A104" s="30" t="s">
        <v>19</v>
      </c>
      <c r="B104" s="22">
        <v>1138</v>
      </c>
      <c r="C104" s="22">
        <v>1898</v>
      </c>
      <c r="D104" s="22">
        <v>1482</v>
      </c>
      <c r="E104" s="22">
        <v>846</v>
      </c>
      <c r="F104" s="22">
        <v>1154</v>
      </c>
      <c r="G104" s="22">
        <v>6518</v>
      </c>
    </row>
    <row r="105" spans="1:7" x14ac:dyDescent="0.35">
      <c r="A105" s="25" t="s">
        <v>1000</v>
      </c>
      <c r="B105" s="26"/>
      <c r="C105" s="26"/>
      <c r="D105" s="26"/>
      <c r="E105" s="26"/>
      <c r="F105" s="26"/>
      <c r="G105" s="26"/>
    </row>
    <row r="106" spans="1:7" x14ac:dyDescent="0.35">
      <c r="A106" s="30" t="s">
        <v>17</v>
      </c>
      <c r="B106" s="22">
        <v>1655</v>
      </c>
      <c r="C106" s="22">
        <v>805</v>
      </c>
      <c r="D106" s="22">
        <v>2263</v>
      </c>
      <c r="E106" s="22">
        <v>987</v>
      </c>
      <c r="F106" s="22">
        <v>1075</v>
      </c>
      <c r="G106" s="22">
        <v>6785</v>
      </c>
    </row>
    <row r="107" spans="1:7" x14ac:dyDescent="0.35">
      <c r="A107" s="30" t="s">
        <v>23</v>
      </c>
      <c r="B107" s="22">
        <v>1104</v>
      </c>
      <c r="C107" s="22">
        <v>2280</v>
      </c>
      <c r="D107" s="22">
        <v>1445</v>
      </c>
      <c r="E107" s="22">
        <v>1722</v>
      </c>
      <c r="F107" s="22">
        <v>1196</v>
      </c>
      <c r="G107" s="22">
        <v>7747</v>
      </c>
    </row>
    <row r="108" spans="1:7" x14ac:dyDescent="0.35">
      <c r="A108" s="30" t="s">
        <v>7</v>
      </c>
      <c r="B108" s="22">
        <v>372</v>
      </c>
      <c r="C108" s="22">
        <v>1818</v>
      </c>
      <c r="D108" s="22">
        <v>1346</v>
      </c>
      <c r="E108" s="22">
        <v>1156</v>
      </c>
      <c r="F108" s="22">
        <v>1484</v>
      </c>
      <c r="G108" s="22">
        <v>6176</v>
      </c>
    </row>
    <row r="109" spans="1:7" x14ac:dyDescent="0.35">
      <c r="A109" s="30" t="s">
        <v>22</v>
      </c>
      <c r="B109" s="22">
        <v>1415</v>
      </c>
      <c r="C109" s="22">
        <v>1271</v>
      </c>
      <c r="D109" s="22">
        <v>1214</v>
      </c>
      <c r="E109" s="22">
        <v>1135</v>
      </c>
      <c r="F109" s="22">
        <v>1566</v>
      </c>
      <c r="G109" s="22">
        <v>6601</v>
      </c>
    </row>
    <row r="110" spans="1:7" x14ac:dyDescent="0.35">
      <c r="A110" s="30" t="s">
        <v>21</v>
      </c>
      <c r="B110" s="22">
        <v>1362</v>
      </c>
      <c r="C110" s="22">
        <v>1363</v>
      </c>
      <c r="D110" s="22">
        <v>1152</v>
      </c>
      <c r="E110" s="22">
        <v>777</v>
      </c>
      <c r="F110" s="22">
        <v>750</v>
      </c>
      <c r="G110" s="22">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4" zoomScale="45" zoomScaleNormal="63" workbookViewId="0">
      <selection activeCell="H23" sqref="H23"/>
    </sheetView>
  </sheetViews>
  <sheetFormatPr defaultRowHeight="14.5" x14ac:dyDescent="0.35"/>
  <cols>
    <col min="1" max="1" width="3.54296875" customWidth="1"/>
    <col min="2" max="2" width="14.6328125" customWidth="1"/>
    <col min="3" max="3" width="12.90625" customWidth="1"/>
    <col min="4" max="4" width="16.6328125" customWidth="1"/>
    <col min="5" max="5" width="15.08984375" customWidth="1"/>
    <col min="6" max="6" width="16.1796875" customWidth="1"/>
    <col min="7" max="7" width="17.26953125" customWidth="1"/>
    <col min="8" max="8" width="18.36328125" customWidth="1"/>
    <col min="9" max="9" width="17.26953125" customWidth="1"/>
    <col min="10" max="12" width="15.54296875" customWidth="1"/>
    <col min="13" max="16" width="7.54296875" customWidth="1"/>
    <col min="17" max="17" width="14.6328125" customWidth="1"/>
    <col min="20" max="20" width="10.6328125" customWidth="1"/>
  </cols>
  <sheetData>
    <row r="1" spans="2:20" s="4" customFormat="1" ht="48" customHeight="1" x14ac:dyDescent="0.35">
      <c r="B1" s="5" t="s">
        <v>1003</v>
      </c>
    </row>
    <row r="2" spans="2:20" x14ac:dyDescent="0.35">
      <c r="R2" s="1"/>
    </row>
    <row r="3" spans="2:20" x14ac:dyDescent="0.3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abSelected="1" zoomScale="115" zoomScaleNormal="115" workbookViewId="0">
      <selection activeCell="J12" sqref="J12"/>
    </sheetView>
  </sheetViews>
  <sheetFormatPr defaultRowHeight="14.5" x14ac:dyDescent="0.35"/>
  <cols>
    <col min="5" max="5" width="10.90625" customWidth="1"/>
    <col min="6" max="6" width="9.90625" customWidth="1"/>
  </cols>
  <sheetData>
    <row r="2" spans="5:6" x14ac:dyDescent="0.35">
      <c r="E2" t="s">
        <v>1040</v>
      </c>
      <c r="F2" t="s">
        <v>1041</v>
      </c>
    </row>
    <row r="3" spans="5:6" ht="25.5" customHeight="1" x14ac:dyDescent="0.35">
      <c r="E3" t="s">
        <v>11</v>
      </c>
      <c r="F3" t="e" vm="2">
        <v>#VALUE!</v>
      </c>
    </row>
    <row r="4" spans="5:6" ht="25.5" customHeight="1" x14ac:dyDescent="0.35">
      <c r="E4" t="s">
        <v>9</v>
      </c>
      <c r="F4" t="e" vm="3">
        <v>#VALUE!</v>
      </c>
    </row>
    <row r="5" spans="5:6" ht="25.5" customHeight="1" x14ac:dyDescent="0.35">
      <c r="E5" t="s">
        <v>6</v>
      </c>
      <c r="F5" t="e" vm="4">
        <v>#VALUE!</v>
      </c>
    </row>
    <row r="6" spans="5:6" ht="25.5" customHeight="1" x14ac:dyDescent="0.35">
      <c r="E6" t="s">
        <v>13</v>
      </c>
      <c r="F6" t="e" vm="5">
        <v>#VALUE!</v>
      </c>
    </row>
    <row r="7" spans="5:6" ht="25.5" customHeight="1" x14ac:dyDescent="0.35">
      <c r="E7" t="s">
        <v>10</v>
      </c>
      <c r="F7" t="e" vm="6">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 center report</vt:lpstr>
      <vt:lpstr>Sheet1</vt:lpstr>
      <vt:lpstr>pivots</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mahesh pittala</cp:lastModifiedBy>
  <dcterms:created xsi:type="dcterms:W3CDTF">2021-03-14T20:21:32Z</dcterms:created>
  <dcterms:modified xsi:type="dcterms:W3CDTF">2026-02-28T10:13:20Z</dcterms:modified>
</cp:coreProperties>
</file>